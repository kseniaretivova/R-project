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Caroline\Downloads\"/>
    </mc:Choice>
  </mc:AlternateContent>
  <xr:revisionPtr revIDLastSave="0" documentId="13_ncr:1_{883AD827-D55F-4BDA-BF41-57EAF56AE530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Data" sheetId="1" r:id="rId1"/>
    <sheet name="Comparisons" sheetId="4" r:id="rId2"/>
    <sheet name="Signs" sheetId="3" state="hidden" r:id="rId3"/>
  </sheets>
  <definedNames>
    <definedName name="_xlnm._FilterDatabase" localSheetId="1" hidden="1">Comparisons!$A$2:$A$13</definedName>
    <definedName name="_xlnm._FilterDatabase" localSheetId="0" hidden="1">Data!$B$2:$B$310</definedName>
    <definedName name="_xlnm.Extract" localSheetId="1">Comparisons!$B$24</definedName>
    <definedName name="dob">#REF!</definedName>
    <definedName name="end">#REF!</definedName>
    <definedName name="sign">#REF!</definedName>
    <definedName name="start">#REF!</definedName>
    <definedName name="symbol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C50" i="4" l="1"/>
  <c r="C41" i="4"/>
  <c r="C46" i="4"/>
  <c r="C44" i="4"/>
  <c r="C45" i="4"/>
  <c r="C40" i="4"/>
  <c r="C42" i="4"/>
  <c r="C49" i="4"/>
  <c r="C43" i="4"/>
  <c r="C47" i="4"/>
  <c r="C48" i="4"/>
  <c r="C19" i="4"/>
  <c r="C20" i="4"/>
  <c r="C18" i="4"/>
  <c r="H291" i="1"/>
  <c r="H104" i="1"/>
  <c r="H310" i="1"/>
  <c r="H280" i="1"/>
  <c r="H281" i="1"/>
  <c r="H286" i="1"/>
  <c r="H290" i="1"/>
  <c r="H293" i="1"/>
  <c r="H294" i="1"/>
  <c r="H297" i="1"/>
  <c r="H300" i="1"/>
  <c r="H303" i="1"/>
  <c r="H305" i="1"/>
  <c r="H309" i="1"/>
  <c r="H282" i="1"/>
  <c r="H283" i="1"/>
  <c r="H288" i="1"/>
  <c r="H289" i="1"/>
  <c r="H292" i="1"/>
  <c r="H295" i="1"/>
  <c r="H298" i="1"/>
  <c r="H301" i="1"/>
  <c r="H302" i="1"/>
  <c r="H304" i="1"/>
  <c r="H307" i="1"/>
  <c r="H308" i="1"/>
  <c r="H2" i="1"/>
  <c r="H3" i="1"/>
  <c r="H6" i="1"/>
  <c r="H7" i="1"/>
  <c r="H8" i="1"/>
  <c r="H10" i="1"/>
  <c r="H11" i="1"/>
  <c r="H12" i="1"/>
  <c r="H13" i="1"/>
  <c r="H14" i="1"/>
  <c r="H16" i="1"/>
  <c r="H17" i="1"/>
  <c r="H18" i="1"/>
  <c r="H19" i="1"/>
  <c r="H20" i="1"/>
  <c r="H21" i="1"/>
  <c r="H23" i="1"/>
  <c r="H24" i="1"/>
  <c r="H25" i="1"/>
  <c r="H26" i="1"/>
  <c r="H29" i="1"/>
  <c r="H31" i="1"/>
  <c r="H33" i="1"/>
  <c r="H34" i="1"/>
  <c r="H36" i="1"/>
  <c r="H37" i="1"/>
  <c r="H39" i="1"/>
  <c r="H41" i="1"/>
  <c r="H44" i="1"/>
  <c r="H46" i="1"/>
  <c r="H47" i="1"/>
  <c r="H50" i="1"/>
  <c r="H51" i="1"/>
  <c r="H52" i="1"/>
  <c r="H53" i="1"/>
  <c r="H54" i="1"/>
  <c r="H55" i="1"/>
  <c r="H56" i="1"/>
  <c r="H57" i="1"/>
  <c r="H59" i="1"/>
  <c r="H62" i="1"/>
  <c r="H64" i="1"/>
  <c r="H65" i="1"/>
  <c r="H66" i="1"/>
  <c r="H69" i="1"/>
  <c r="H70" i="1"/>
  <c r="H72" i="1"/>
  <c r="H73" i="1"/>
  <c r="H76" i="1"/>
  <c r="H77" i="1"/>
  <c r="H78" i="1"/>
  <c r="H82" i="1"/>
  <c r="H83" i="1"/>
  <c r="H84" i="1"/>
  <c r="H85" i="1"/>
  <c r="H86" i="1"/>
  <c r="H87" i="1"/>
  <c r="H88" i="1"/>
  <c r="H89" i="1"/>
  <c r="H90" i="1"/>
  <c r="H92" i="1"/>
  <c r="H93" i="1"/>
  <c r="H94" i="1"/>
  <c r="H98" i="1"/>
  <c r="H99" i="1"/>
  <c r="H100" i="1"/>
  <c r="H101" i="1"/>
  <c r="H102" i="1"/>
  <c r="H105" i="1"/>
  <c r="H106" i="1"/>
  <c r="H109" i="1"/>
  <c r="H110" i="1"/>
  <c r="H111" i="1"/>
  <c r="H114" i="1"/>
  <c r="H115" i="1"/>
  <c r="H118" i="1"/>
  <c r="H120" i="1"/>
  <c r="H122" i="1"/>
  <c r="H123" i="1"/>
  <c r="H125" i="1"/>
  <c r="H126" i="1"/>
  <c r="H127" i="1"/>
  <c r="H128" i="1"/>
  <c r="H129" i="1"/>
  <c r="H131" i="1"/>
  <c r="H132" i="1"/>
  <c r="H135" i="1"/>
  <c r="H137" i="1"/>
  <c r="H139" i="1"/>
  <c r="H140" i="1"/>
  <c r="H141" i="1"/>
  <c r="H142" i="1"/>
  <c r="H143" i="1"/>
  <c r="H144" i="1"/>
  <c r="H145" i="1"/>
  <c r="H146" i="1"/>
  <c r="H147" i="1"/>
  <c r="H155" i="1"/>
  <c r="H156" i="1"/>
  <c r="H157" i="1"/>
  <c r="H158" i="1"/>
  <c r="H159" i="1"/>
  <c r="H160" i="1"/>
  <c r="H161" i="1"/>
  <c r="H162" i="1"/>
  <c r="H165" i="1"/>
  <c r="H166" i="1"/>
  <c r="H168" i="1"/>
  <c r="H103" i="1"/>
  <c r="H169" i="1"/>
  <c r="H170" i="1"/>
  <c r="H171" i="1"/>
  <c r="H173" i="1"/>
  <c r="H174" i="1"/>
  <c r="H175" i="1"/>
  <c r="H176" i="1"/>
  <c r="H177" i="1"/>
  <c r="H178" i="1"/>
  <c r="H180" i="1"/>
  <c r="H181" i="1"/>
  <c r="H182" i="1"/>
  <c r="H183" i="1"/>
  <c r="H184" i="1"/>
  <c r="H186" i="1"/>
  <c r="H187" i="1"/>
  <c r="H189" i="1"/>
  <c r="H190" i="1"/>
  <c r="H192" i="1"/>
  <c r="H194" i="1"/>
  <c r="H195" i="1"/>
  <c r="H197" i="1"/>
  <c r="H198" i="1"/>
  <c r="H199" i="1"/>
  <c r="H200" i="1"/>
  <c r="H201" i="1"/>
  <c r="H203" i="1"/>
  <c r="H204" i="1"/>
  <c r="H206" i="1"/>
  <c r="H207" i="1"/>
  <c r="H208" i="1"/>
  <c r="H209" i="1"/>
  <c r="H211" i="1"/>
  <c r="H212" i="1"/>
  <c r="H213" i="1"/>
  <c r="H214" i="1"/>
  <c r="H215" i="1"/>
  <c r="H154" i="1"/>
  <c r="H217" i="1"/>
  <c r="H218" i="1"/>
  <c r="H219" i="1"/>
  <c r="H220" i="1"/>
  <c r="H221" i="1"/>
  <c r="H222" i="1"/>
  <c r="H223" i="1"/>
  <c r="H224" i="1"/>
  <c r="H225" i="1"/>
  <c r="H226" i="1"/>
  <c r="H228" i="1"/>
  <c r="H229" i="1"/>
  <c r="H230" i="1"/>
  <c r="H232" i="1"/>
  <c r="H117" i="1"/>
  <c r="H193" i="1"/>
  <c r="H233" i="1"/>
  <c r="H234" i="1"/>
  <c r="H235" i="1"/>
  <c r="H236" i="1"/>
  <c r="H237" i="1"/>
  <c r="H239" i="1"/>
  <c r="H240" i="1"/>
  <c r="H241" i="1"/>
  <c r="H242" i="1"/>
  <c r="H243" i="1"/>
  <c r="H244" i="1"/>
  <c r="H246" i="1"/>
  <c r="H247" i="1"/>
  <c r="H248" i="1"/>
  <c r="H249" i="1"/>
  <c r="H250" i="1"/>
  <c r="H251" i="1"/>
  <c r="H252" i="1"/>
  <c r="H254" i="1"/>
  <c r="H256" i="1"/>
  <c r="H258" i="1"/>
  <c r="H259" i="1"/>
  <c r="H260" i="1"/>
  <c r="H261" i="1"/>
  <c r="H262" i="1"/>
  <c r="H264" i="1"/>
  <c r="H265" i="1"/>
  <c r="H268" i="1"/>
  <c r="H269" i="1"/>
  <c r="H270" i="1"/>
  <c r="H272" i="1"/>
  <c r="H273" i="1"/>
  <c r="H274" i="1"/>
  <c r="H275" i="1"/>
  <c r="H276" i="1"/>
  <c r="H277" i="1"/>
  <c r="H278" i="1"/>
  <c r="C25" i="4" l="1"/>
  <c r="C52" i="4"/>
  <c r="C14" i="4"/>
  <c r="C31" i="4"/>
  <c r="C36" i="4"/>
  <c r="C30" i="4"/>
  <c r="C13" i="4"/>
  <c r="C7" i="4"/>
  <c r="C35" i="4"/>
  <c r="C29" i="4"/>
  <c r="C12" i="4"/>
  <c r="C6" i="4"/>
  <c r="C34" i="4"/>
  <c r="C28" i="4"/>
  <c r="C11" i="4"/>
  <c r="C5" i="4"/>
  <c r="C33" i="4"/>
  <c r="C26" i="4"/>
  <c r="C10" i="4"/>
  <c r="C4" i="4"/>
  <c r="C32" i="4"/>
  <c r="C9" i="4"/>
  <c r="C3" i="4"/>
  <c r="C27" i="4"/>
  <c r="C8" i="4"/>
  <c r="C2" i="4"/>
  <c r="C24" i="4"/>
</calcChain>
</file>

<file path=xl/sharedStrings.xml><?xml version="1.0" encoding="utf-8"?>
<sst xmlns="http://schemas.openxmlformats.org/spreadsheetml/2006/main" count="1165" uniqueCount="394">
  <si>
    <t>Name</t>
  </si>
  <si>
    <t>Country</t>
  </si>
  <si>
    <t>Years active</t>
  </si>
  <si>
    <t>Proven victims</t>
  </si>
  <si>
    <t>Luis Garavito</t>
  </si>
  <si>
    <t>Pedro López</t>
  </si>
  <si>
    <t>Javed Iqbal</t>
  </si>
  <si>
    <t>Pakistan</t>
  </si>
  <si>
    <t>Mikhail Popkov</t>
  </si>
  <si>
    <t>Russia</t>
  </si>
  <si>
    <t>Daniel Camargo Barbosa</t>
  </si>
  <si>
    <t>Pedro Rodrigues Filho</t>
  </si>
  <si>
    <t>Brazil</t>
  </si>
  <si>
    <t>Kampatimar Shankariya</t>
  </si>
  <si>
    <t>India</t>
  </si>
  <si>
    <t>Yang Xinhai</t>
  </si>
  <si>
    <t>China</t>
  </si>
  <si>
    <t>Samuel Little</t>
  </si>
  <si>
    <t>United States</t>
  </si>
  <si>
    <t>Giuseppe Greco</t>
  </si>
  <si>
    <t>Italy</t>
  </si>
  <si>
    <t>Andrei Chikatilo</t>
  </si>
  <si>
    <t>Anatoly Onoprienko</t>
  </si>
  <si>
    <t>Ivan Maleshoff</t>
  </si>
  <si>
    <t>Florisvaldo de Oliveira</t>
  </si>
  <si>
    <t>Willy Pickton</t>
  </si>
  <si>
    <t>Canada</t>
  </si>
  <si>
    <t>Gary Ridgway</t>
  </si>
  <si>
    <t>Alexander Pichushkin</t>
  </si>
  <si>
    <t>Wang Qiang</t>
  </si>
  <si>
    <t>Ahmad Suradji</t>
  </si>
  <si>
    <t>Indonesia</t>
  </si>
  <si>
    <t>Raman Raghav</t>
  </si>
  <si>
    <t>Tiago Henrique Gomes da Rocha</t>
  </si>
  <si>
    <t>Moses Sithole</t>
  </si>
  <si>
    <t>South Africa</t>
  </si>
  <si>
    <t>Serhiy Tkach</t>
  </si>
  <si>
    <t>Gennady Mikhasevich</t>
  </si>
  <si>
    <t>Hadj Mohammed Mesfewi</t>
  </si>
  <si>
    <t>Morocco</t>
  </si>
  <si>
    <t>Vera Renczi</t>
  </si>
  <si>
    <t>Ted Bundy</t>
  </si>
  <si>
    <t>Clementine Barnabet</t>
  </si>
  <si>
    <t>John Wayne Gacy</t>
  </si>
  <si>
    <t>Ali Asghar Borujerdi</t>
  </si>
  <si>
    <t>Vasili Komaroff</t>
  </si>
  <si>
    <t>Fernando Hernández Leyva</t>
  </si>
  <si>
    <t>Mexico</t>
  </si>
  <si>
    <t>Ramadan Abdel Rehim Mansour</t>
  </si>
  <si>
    <t>Egypt</t>
  </si>
  <si>
    <t>Radik Tagirov</t>
  </si>
  <si>
    <t>Karl Denke</t>
  </si>
  <si>
    <t>Germany</t>
  </si>
  <si>
    <t>Francisco das Chagas Rodrigues de Brito</t>
  </si>
  <si>
    <t>Luis Gregorio Ramírez Maestre</t>
  </si>
  <si>
    <t>Colombia</t>
  </si>
  <si>
    <t>David Thabo Simelane</t>
  </si>
  <si>
    <t>Swaziland</t>
  </si>
  <si>
    <t>Zhang Jun</t>
  </si>
  <si>
    <t>Cedric Maake</t>
  </si>
  <si>
    <t>Mariam Soulakiotis</t>
  </si>
  <si>
    <t>Greece</t>
  </si>
  <si>
    <t>Bruce George Peter Lee</t>
  </si>
  <si>
    <t>United Kingdom</t>
  </si>
  <si>
    <t>The Stoneman</t>
  </si>
  <si>
    <t>Juan Corona</t>
  </si>
  <si>
    <t>Fritz Haarmann</t>
  </si>
  <si>
    <t>Béla Kiss</t>
  </si>
  <si>
    <t>Majid Salek Mohammadi</t>
  </si>
  <si>
    <t>Iran</t>
  </si>
  <si>
    <t>Yvan Keller</t>
  </si>
  <si>
    <t>Ronald Dominique</t>
  </si>
  <si>
    <t>Juan Fernando Hermosa</t>
  </si>
  <si>
    <t>Ecuador</t>
  </si>
  <si>
    <t>Earle Nelson</t>
  </si>
  <si>
    <t>Mikhail Novosyolov</t>
  </si>
  <si>
    <t>Manuel Octavio Bermúdez</t>
  </si>
  <si>
    <t>Patrick Kearney</t>
  </si>
  <si>
    <t>William Bonin</t>
  </si>
  <si>
    <t>Vasile Tcaciuc</t>
  </si>
  <si>
    <t>Romania</t>
  </si>
  <si>
    <t>Yoo Young-chul</t>
  </si>
  <si>
    <t>South Korea</t>
  </si>
  <si>
    <t>Francisco Guerrero Pérez</t>
  </si>
  <si>
    <t>Abdullah Shah</t>
  </si>
  <si>
    <t>Afghanistan</t>
  </si>
  <si>
    <t>José Paz Bezerra</t>
  </si>
  <si>
    <t>Bulelani Mabhayi</t>
  </si>
  <si>
    <t>Mohan Kumar</t>
  </si>
  <si>
    <t>Alexander Spesivtsev</t>
  </si>
  <si>
    <t>Larry Eyler</t>
  </si>
  <si>
    <t>Surinder Koli</t>
  </si>
  <si>
    <t>El Psicópata</t>
  </si>
  <si>
    <t>Costa Rica</t>
  </si>
  <si>
    <t>Sergei Ryakhovsky</t>
  </si>
  <si>
    <t>Yevgeny Chuplinsky</t>
  </si>
  <si>
    <t>M. Jaishankar</t>
  </si>
  <si>
    <t>Latvia</t>
  </si>
  <si>
    <t>Vadim Ershov</t>
  </si>
  <si>
    <t>Velaphi Ndlangamandla</t>
  </si>
  <si>
    <t>Turkey</t>
  </si>
  <si>
    <t>Paul John Knowles</t>
  </si>
  <si>
    <t>Thierry Paulin</t>
  </si>
  <si>
    <t>France</t>
  </si>
  <si>
    <t>Randall Woodfield</t>
  </si>
  <si>
    <t>Umesh Reddy</t>
  </si>
  <si>
    <t>Christopher Mhlengwa Zikode</t>
  </si>
  <si>
    <t>Asande Baninzi</t>
  </si>
  <si>
    <t>Huang Yong</t>
  </si>
  <si>
    <t>Pedro Pablo Nakada Ludeña</t>
  </si>
  <si>
    <t>Peru</t>
  </si>
  <si>
    <t>Darbara Singh</t>
  </si>
  <si>
    <t>Sergei Dovzhenko</t>
  </si>
  <si>
    <t>Ukraine</t>
  </si>
  <si>
    <t>Donato Bilancia</t>
  </si>
  <si>
    <t>Irina Gaidamachuk</t>
  </si>
  <si>
    <t>Randy Steven Kraft</t>
  </si>
  <si>
    <t>Mohammed Bijeh</t>
  </si>
  <si>
    <t>Michel Fourniret</t>
  </si>
  <si>
    <t>Sipho Agmatir Thwala</t>
  </si>
  <si>
    <t>Saeed Hanaei</t>
  </si>
  <si>
    <t>Jeffrey Dahmer</t>
  </si>
  <si>
    <t>José Antonio Rodríguez Vega</t>
  </si>
  <si>
    <t>Spain</t>
  </si>
  <si>
    <t>Elias Xitavhudzi</t>
  </si>
  <si>
    <t>Jimmy Maketta</t>
  </si>
  <si>
    <t>Jack Mogale</t>
  </si>
  <si>
    <t>Robert Lee Yates</t>
  </si>
  <si>
    <t>Carroll Cole</t>
  </si>
  <si>
    <t>Charles Ray Hatcher</t>
  </si>
  <si>
    <t>Yuri Ivanov</t>
  </si>
  <si>
    <t>Vladimir Mirgorod</t>
  </si>
  <si>
    <t>Lee Choon-jae</t>
  </si>
  <si>
    <t>Dorángel Vargas</t>
  </si>
  <si>
    <t>Venezuela</t>
  </si>
  <si>
    <t>Ravinder Kumar</t>
  </si>
  <si>
    <t>Atlanta Ripper</t>
  </si>
  <si>
    <t>Robert Hansen</t>
  </si>
  <si>
    <t>Ángel Maturino Reséndiz</t>
  </si>
  <si>
    <t>Chester Turner</t>
  </si>
  <si>
    <t>Elifasi Msomi</t>
  </si>
  <si>
    <t>Florencio Fernández</t>
  </si>
  <si>
    <t>Argentina</t>
  </si>
  <si>
    <t>Bai Baoshan</t>
  </si>
  <si>
    <t>Maurizio Minghella</t>
  </si>
  <si>
    <t>Alexander Labutkin</t>
  </si>
  <si>
    <t>Carl Eugene Watts</t>
  </si>
  <si>
    <t>Philipp Tyurin</t>
  </si>
  <si>
    <t>Poland</t>
  </si>
  <si>
    <t>Monster of Florence</t>
  </si>
  <si>
    <t>Joachim Kroll</t>
  </si>
  <si>
    <t>Arthur Shawcross</t>
  </si>
  <si>
    <t>The Doodler</t>
  </si>
  <si>
    <t>Marcelo Costa de Andrade</t>
  </si>
  <si>
    <t>Julio Pérez Silva</t>
  </si>
  <si>
    <t>Chile</t>
  </si>
  <si>
    <t>Sergey Shipilov</t>
  </si>
  <si>
    <t>Abdufatto Zamanov</t>
  </si>
  <si>
    <t>Jeong Nam-gyu</t>
  </si>
  <si>
    <t>Amir Qayyum</t>
  </si>
  <si>
    <t>Jake Bird</t>
  </si>
  <si>
    <t>Belle Gunness</t>
  </si>
  <si>
    <t>Cleveland Torso Murderer</t>
  </si>
  <si>
    <t>Kaspars Petrovs</t>
  </si>
  <si>
    <t>Richard Ramirez</t>
  </si>
  <si>
    <t>Sleepy Hollow Killer</t>
  </si>
  <si>
    <t>Peter Sutcliffe</t>
  </si>
  <si>
    <t>Francisco Antonio Laureana</t>
  </si>
  <si>
    <t>Tamara Samsonova</t>
  </si>
  <si>
    <t>Herbert Mullin</t>
  </si>
  <si>
    <t>Boston Strangler</t>
  </si>
  <si>
    <t>Lorenzo Gilyard</t>
  </si>
  <si>
    <t>Joseph James DeAngelo</t>
  </si>
  <si>
    <t>Vladimir Storozhenko</t>
  </si>
  <si>
    <t>Vasiliy Kulik</t>
  </si>
  <si>
    <t>Nikolai Dudin</t>
  </si>
  <si>
    <t>Denis Pischikov</t>
  </si>
  <si>
    <t>Nikolay Shubin</t>
  </si>
  <si>
    <t>Johannes Mashiane</t>
  </si>
  <si>
    <t>Mukosi Freddy Mulaudzi</t>
  </si>
  <si>
    <t>Thozamile Taki</t>
  </si>
  <si>
    <t>Rainbow Maniac</t>
  </si>
  <si>
    <t>Naceur Damergi</t>
  </si>
  <si>
    <t>Tunisia</t>
  </si>
  <si>
    <t>Adolf Seefeldt</t>
  </si>
  <si>
    <t>Donald Henry Gaskins</t>
  </si>
  <si>
    <t>William Suff</t>
  </si>
  <si>
    <t>Vladimir Romanov</t>
  </si>
  <si>
    <t>Maury Travis</t>
  </si>
  <si>
    <t>Dennis Nilsen</t>
  </si>
  <si>
    <t>Kenneth Bianchi</t>
  </si>
  <si>
    <t>Charles Sobhraj</t>
  </si>
  <si>
    <t>Abdallah al-Hubal</t>
  </si>
  <si>
    <t>Yemen</t>
  </si>
  <si>
    <t>Nikolai Shestakov</t>
  </si>
  <si>
    <t>Anatoly Sedykh</t>
  </si>
  <si>
    <t>Joseph Christopher</t>
  </si>
  <si>
    <t>"Paraquat murders" killer</t>
  </si>
  <si>
    <t>Japan</t>
  </si>
  <si>
    <t>Enriqueta Martí</t>
  </si>
  <si>
    <t>Unknown</t>
  </si>
  <si>
    <t>Herb Baumeister</t>
  </si>
  <si>
    <t>John Bunting</t>
  </si>
  <si>
    <t>Australia</t>
  </si>
  <si>
    <t>Sergey Golovkin</t>
  </si>
  <si>
    <t>Juana Barraza</t>
  </si>
  <si>
    <t>Zhang Yongming</t>
  </si>
  <si>
    <t>Jack Unterweger</t>
  </si>
  <si>
    <t>Vaughn Greenwood</t>
  </si>
  <si>
    <t>Benjamin Atkins</t>
  </si>
  <si>
    <t>Nannie Doss</t>
  </si>
  <si>
    <t>Clifford Olson</t>
  </si>
  <si>
    <t>Henri Désiré Landru</t>
  </si>
  <si>
    <t>West Mesa Killer</t>
  </si>
  <si>
    <t>Anthony Sowell</t>
  </si>
  <si>
    <t>Andre Crawford</t>
  </si>
  <si>
    <t>Francisco García Escalero</t>
  </si>
  <si>
    <t>Robledo Puch</t>
  </si>
  <si>
    <t>Adnan Çolak</t>
  </si>
  <si>
    <t>Seisaku Nakamura</t>
  </si>
  <si>
    <t>Very Idham Henyansyah</t>
  </si>
  <si>
    <t>Francisco de Assis Pereira</t>
  </si>
  <si>
    <t>Roshu Kha</t>
  </si>
  <si>
    <t>Bangladesh</t>
  </si>
  <si>
    <t>Gao Chengyong</t>
  </si>
  <si>
    <t>Marie Alexandrine Becker</t>
  </si>
  <si>
    <t>Belgium</t>
  </si>
  <si>
    <t>Ruslan Khamarov</t>
  </si>
  <si>
    <t>Yevgeny Petrov</t>
  </si>
  <si>
    <t>Rudolf Pleil</t>
  </si>
  <si>
    <t>Milton Johnson</t>
  </si>
  <si>
    <t>Long Island serial killer</t>
  </si>
  <si>
    <t>Daniel Lee Siebert</t>
  </si>
  <si>
    <t>Lonnie David Franklin Jr.</t>
  </si>
  <si>
    <t>Sergey Cherny</t>
  </si>
  <si>
    <t>Bobby Joe Long</t>
  </si>
  <si>
    <t>Stewart Wilken</t>
  </si>
  <si>
    <t>David Randitsheni</t>
  </si>
  <si>
    <t>Edmund Kemper</t>
  </si>
  <si>
    <t>Dennis Rader</t>
  </si>
  <si>
    <t>Ali Kaya</t>
  </si>
  <si>
    <t>Robert Wagner</t>
  </si>
  <si>
    <t>Jeanne Weber</t>
  </si>
  <si>
    <t>Henry Louis Wallace</t>
  </si>
  <si>
    <t>Angelo Buono Jr.</t>
  </si>
  <si>
    <t>Satish</t>
  </si>
  <si>
    <t>Zhou Kehua</t>
  </si>
  <si>
    <t>Kang Ho-sun</t>
  </si>
  <si>
    <t>Eduard Shemyakov</t>
  </si>
  <si>
    <t>Oleg Kuznetsov</t>
  </si>
  <si>
    <t>Stanislav Rogolev</t>
  </si>
  <si>
    <t>Volker Eckert</t>
  </si>
  <si>
    <t>Louis van Schoor</t>
  </si>
  <si>
    <t>Peter Kürten</t>
  </si>
  <si>
    <t>Roger Dale Stafford</t>
  </si>
  <si>
    <t>Norman Afzal Simons</t>
  </si>
  <si>
    <t>Francis Heaulme</t>
  </si>
  <si>
    <t>Joel Rifkin</t>
  </si>
  <si>
    <t>Dagmar Overbye</t>
  </si>
  <si>
    <t>Denmark</t>
  </si>
  <si>
    <t>Kenneth McDuff</t>
  </si>
  <si>
    <t>Robert Joseph Silveria Jr.</t>
  </si>
  <si>
    <t>Richard Biegenwald</t>
  </si>
  <si>
    <t>Alexander Bychkov</t>
  </si>
  <si>
    <t>New Bedford Highway Killer</t>
  </si>
  <si>
    <t>Maryvale serial shooter</t>
  </si>
  <si>
    <t>Viktor Fokin</t>
  </si>
  <si>
    <t>Timothy Krajcir</t>
  </si>
  <si>
    <t>Edgecombe County Serial Killer</t>
  </si>
  <si>
    <t>Eric Edgar Cooke</t>
  </si>
  <si>
    <t>Joseph Paul Franklin</t>
  </si>
  <si>
    <t>Yoshio Kodaira</t>
  </si>
  <si>
    <t>Keith Hunter Jesperson</t>
  </si>
  <si>
    <t>Rodney Alcala</t>
  </si>
  <si>
    <t>Kiyotaka Katsuta</t>
  </si>
  <si>
    <t>Pierre Chanal</t>
  </si>
  <si>
    <t>Christopher Wilder</t>
  </si>
  <si>
    <t>Axeman of New Orleans</t>
  </si>
  <si>
    <t>Vladimir Retunsky</t>
  </si>
  <si>
    <t>Gilbert Paul Jordan</t>
  </si>
  <si>
    <t>Bruce McArthur</t>
  </si>
  <si>
    <t>Elizabeth Wettlaufer</t>
  </si>
  <si>
    <t>Nikolai Dzhumagaliev</t>
  </si>
  <si>
    <t>Manuel Delgado Villegas</t>
  </si>
  <si>
    <t>Ershad Sikder</t>
  </si>
  <si>
    <t>Ivan Milat</t>
  </si>
  <si>
    <t>Michael Wayne McGray</t>
  </si>
  <si>
    <t>Kenneth Erskine</t>
  </si>
  <si>
    <t>David Carpenter</t>
  </si>
  <si>
    <t>Vladimir Kuzmin</t>
  </si>
  <si>
    <t>Tommy Recco</t>
  </si>
  <si>
    <t>Todd Kohlhepp</t>
  </si>
  <si>
    <t>Ohio Prostitute Killer</t>
  </si>
  <si>
    <t>Derrick Todd Lee</t>
  </si>
  <si>
    <t>Tomás Maldonado Cera</t>
  </si>
  <si>
    <t>Aileen Wuornos</t>
  </si>
  <si>
    <t>Nikos Metaxas</t>
  </si>
  <si>
    <t>Cyprus</t>
  </si>
  <si>
    <t>David Berkowitz</t>
  </si>
  <si>
    <t>Richard Chase</t>
  </si>
  <si>
    <t>Tommy Lynn Sells</t>
  </si>
  <si>
    <t>Gong Runbo</t>
  </si>
  <si>
    <t>Cristopher Chávez Cuellar</t>
  </si>
  <si>
    <t>András Pándy</t>
  </si>
  <si>
    <t>John Wayne Glover</t>
  </si>
  <si>
    <t>Alexander Sergeychik</t>
  </si>
  <si>
    <t>Belarus</t>
  </si>
  <si>
    <t>Adrián Arroyo Gutiérrez</t>
  </si>
  <si>
    <t>Joseph Naso</t>
  </si>
  <si>
    <t>Terry Peder Rasmussen</t>
  </si>
  <si>
    <t>Richard Cottingham</t>
  </si>
  <si>
    <t>Zodiac Killer</t>
  </si>
  <si>
    <t>John Floyd Thomas Jr.</t>
  </si>
  <si>
    <t>Carl Panzram</t>
  </si>
  <si>
    <t>Steve Wright</t>
  </si>
  <si>
    <t>Michel Peiry</t>
  </si>
  <si>
    <t>Czechoslovakia</t>
  </si>
  <si>
    <t>Thomas Dillon</t>
  </si>
  <si>
    <t>Joe Metheny</t>
  </si>
  <si>
    <t>Sek Kim Wah</t>
  </si>
  <si>
    <t>Singapore</t>
  </si>
  <si>
    <t>Birthdate</t>
  </si>
  <si>
    <t>Zodiac sign</t>
  </si>
  <si>
    <t>Aries</t>
  </si>
  <si>
    <t>Taurus</t>
  </si>
  <si>
    <t>Gemini</t>
  </si>
  <si>
    <t>Cancer</t>
  </si>
  <si>
    <t>Leo</t>
  </si>
  <si>
    <t>Virgo</t>
  </si>
  <si>
    <t>Libra</t>
  </si>
  <si>
    <t>Scorpio</t>
  </si>
  <si>
    <t>Sagittarius</t>
  </si>
  <si>
    <t>Capricorn</t>
  </si>
  <si>
    <t>Aquarius</t>
  </si>
  <si>
    <t>Pisces</t>
  </si>
  <si>
    <t>Ansis Kaupēns</t>
  </si>
  <si>
    <t>Yavuz Yapıcıoğlu</t>
  </si>
  <si>
    <t>Zdzislaw Marchwicki</t>
  </si>
  <si>
    <t>Władysław Mazurkiewicz</t>
  </si>
  <si>
    <t>Hubert Pilčík</t>
  </si>
  <si>
    <t>Charlie Brandt</t>
  </si>
  <si>
    <t>Robert Black</t>
  </si>
  <si>
    <t>Max Gufler</t>
  </si>
  <si>
    <t>Austria</t>
  </si>
  <si>
    <t>Ernesto Picchioni</t>
  </si>
  <si>
    <t>Baekuni</t>
  </si>
  <si>
    <t>Igor Chernat</t>
  </si>
  <si>
    <t>Ricky Lee Green</t>
  </si>
  <si>
    <t>Robert Hicks Murray</t>
  </si>
  <si>
    <t>Dallen Bounds</t>
  </si>
  <si>
    <t>Stephen Port</t>
  </si>
  <si>
    <t>Robert Maudsley</t>
  </si>
  <si>
    <t>Sharon Kinne</t>
  </si>
  <si>
    <t>Ted Kaczynski</t>
  </si>
  <si>
    <t>Robert Ben Rhoades</t>
  </si>
  <si>
    <t>Peter Tobin</t>
  </si>
  <si>
    <t>Pedro Padilla Flores</t>
  </si>
  <si>
    <t>Billy Glaze</t>
  </si>
  <si>
    <t>Bertha Gifford</t>
  </si>
  <si>
    <t>Bernhard Prigan</t>
  </si>
  <si>
    <t>Stephen Griffiths</t>
  </si>
  <si>
    <t>Koos Hertogs</t>
  </si>
  <si>
    <t>Netherlands</t>
  </si>
  <si>
    <t>Chisako Kakehi</t>
  </si>
  <si>
    <t>Dorothea Puente</t>
  </si>
  <si>
    <t>Patrick Mackay</t>
  </si>
  <si>
    <t>Leonarda Cianciulli</t>
  </si>
  <si>
    <t>Özkan Zengin</t>
  </si>
  <si>
    <t>Albert Fish</t>
  </si>
  <si>
    <t>Heriberto Seda</t>
  </si>
  <si>
    <t>John Martin</t>
  </si>
  <si>
    <t>Gender</t>
  </si>
  <si>
    <t>M</t>
  </si>
  <si>
    <t>F</t>
  </si>
  <si>
    <t>U</t>
  </si>
  <si>
    <t>Judy Buenoano</t>
  </si>
  <si>
    <t>Juana Barraza Samperio</t>
  </si>
  <si>
    <t>Kristen Gilbert</t>
  </si>
  <si>
    <t>Miyuki Ishikawa</t>
  </si>
  <si>
    <t>Amount</t>
  </si>
  <si>
    <t>Kingdom of Romania</t>
  </si>
  <si>
    <t>Hungary</t>
  </si>
  <si>
    <t>Switzerland</t>
  </si>
  <si>
    <t>Proven Victims</t>
  </si>
  <si>
    <t>Amount of killers</t>
  </si>
  <si>
    <t>Vietnam</t>
  </si>
  <si>
    <t>Country of origin</t>
  </si>
  <si>
    <t>Count of killers</t>
  </si>
  <si>
    <t>Total</t>
  </si>
  <si>
    <t>Gender of the killer</t>
  </si>
  <si>
    <t>Zodiac of the killer</t>
  </si>
  <si>
    <t>Other</t>
  </si>
  <si>
    <t>Starting year</t>
  </si>
  <si>
    <t>End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</si>
</sst>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5"/>
      </left>
      <right/>
      <top style="thin">
        <color indexed="8"/>
      </top>
      <bottom/>
      <diagonal/>
    </border>
    <border>
      <left style="thin">
        <color indexed="65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indexed="8"/>
      </right>
      <top style="thin">
        <color indexed="65"/>
      </top>
      <bottom/>
      <diagonal/>
    </border>
    <border>
      <left style="thin">
        <color indexed="8"/>
      </left>
      <right/>
      <top style="thin">
        <color indexed="65"/>
      </top>
      <bottom style="thin">
        <color indexed="8"/>
      </bottom>
      <diagonal/>
    </border>
    <border>
      <left style="thin">
        <color indexed="65"/>
      </left>
      <right/>
      <top style="thin">
        <color indexed="65"/>
      </top>
      <bottom style="thin">
        <color indexed="8"/>
      </bottom>
      <diagonal/>
    </border>
    <border>
      <left style="thin">
        <color indexed="65"/>
      </left>
      <right style="thin">
        <color indexed="8"/>
      </right>
      <top style="thin">
        <color indexed="65"/>
      </top>
      <bottom style="thin">
        <color indexed="8"/>
      </bottom>
      <diagonal/>
    </border>
  </borders>
  <cellStyleXfs count="1">
    <xf numFmtId="0" fontId="0" fillId="0" borderId="0"/>
  </cellStyleXfs>
  <cellXfs count="14">
    <xf numFmtId="0" fontId="0" fillId="0" borderId="0" xfId="0"/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16" fontId="0" fillId="0" borderId="0" xfId="0" applyNumberFormat="1" applyAlignment="1">
      <alignment horizontal="center" vertic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31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numFmt numFmtId="0" formatCode="General"/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indent="0" justifyLastLine="0" shrinkToFit="0" readingOrder="0"/>
    </dxf>
    <dxf>
      <numFmt numFmtId="164" formatCode="d/m/yyyy"/>
      <alignment horizontal="center" vertical="center" textRotation="0" indent="0" justifyLastLine="0" shrinkToFit="0" readingOrder="0"/>
    </dxf>
    <dxf>
      <numFmt numFmtId="0" formatCode="General"/>
      <alignment horizontal="center" vertical="center" textRotation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percentage of serial killers per zodiac sign</a:t>
            </a:r>
          </a:p>
          <a:p>
            <a:pPr>
              <a:defRPr/>
            </a:pPr>
            <a:endParaRPr lang="en-US"/>
          </a:p>
        </c:rich>
      </c:tx>
      <c:layout>
        <c:manualLayout>
          <c:xMode val="edge"/>
          <c:yMode val="edge"/>
          <c:x val="0.16040465140532931"/>
          <c:y val="3.5087719298245612E-2"/>
        </c:manualLayout>
      </c:layout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Comparisons!$C$1</c:f>
              <c:strCache>
                <c:ptCount val="1"/>
                <c:pt idx="0">
                  <c:v>Amount of killers</c:v>
                </c:pt>
              </c:strCache>
            </c:strRef>
          </c:tx>
          <c:explosion val="25"/>
          <c:dLbls>
            <c:spPr>
              <a:noFill/>
              <a:ln>
                <a:noFill/>
              </a:ln>
              <a:effectLst/>
            </c:sp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Comparisons!$B$2:$B$14</c:f>
              <c:strCache>
                <c:ptCount val="12"/>
                <c:pt idx="0">
                  <c:v>Capricorn</c:v>
                </c:pt>
                <c:pt idx="1">
                  <c:v>Pisces</c:v>
                </c:pt>
                <c:pt idx="2">
                  <c:v>Scorpio</c:v>
                </c:pt>
                <c:pt idx="3">
                  <c:v>Sagittarius</c:v>
                </c:pt>
                <c:pt idx="4">
                  <c:v>Aries</c:v>
                </c:pt>
                <c:pt idx="5">
                  <c:v>Aquarius</c:v>
                </c:pt>
                <c:pt idx="6">
                  <c:v>Cancer</c:v>
                </c:pt>
                <c:pt idx="7">
                  <c:v>Taurus</c:v>
                </c:pt>
                <c:pt idx="8">
                  <c:v>Gemini</c:v>
                </c:pt>
                <c:pt idx="9">
                  <c:v>Libra</c:v>
                </c:pt>
                <c:pt idx="10">
                  <c:v>Virgo</c:v>
                </c:pt>
                <c:pt idx="11">
                  <c:v>Leo</c:v>
                </c:pt>
              </c:strCache>
            </c:strRef>
          </c:cat>
          <c:val>
            <c:numRef>
              <c:f>Comparisons!$C$2:$C$14</c:f>
              <c:numCache>
                <c:formatCode>General</c:formatCode>
                <c:ptCount val="12"/>
                <c:pt idx="0">
                  <c:v>24</c:v>
                </c:pt>
                <c:pt idx="1">
                  <c:v>24</c:v>
                </c:pt>
                <c:pt idx="2">
                  <c:v>24</c:v>
                </c:pt>
                <c:pt idx="3">
                  <c:v>23</c:v>
                </c:pt>
                <c:pt idx="4">
                  <c:v>21</c:v>
                </c:pt>
                <c:pt idx="5">
                  <c:v>20</c:v>
                </c:pt>
                <c:pt idx="6">
                  <c:v>20</c:v>
                </c:pt>
                <c:pt idx="7">
                  <c:v>17</c:v>
                </c:pt>
                <c:pt idx="8">
                  <c:v>17</c:v>
                </c:pt>
                <c:pt idx="9">
                  <c:v>14</c:v>
                </c:pt>
                <c:pt idx="10">
                  <c:v>12</c:v>
                </c:pt>
                <c:pt idx="11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ED-4CDA-B49C-181AA73681BB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Percentage of social killers per gender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Comparisons!$C$17</c:f>
              <c:strCache>
                <c:ptCount val="1"/>
                <c:pt idx="0">
                  <c:v>Amount</c:v>
                </c:pt>
              </c:strCache>
            </c:strRef>
          </c:tx>
          <c:explosion val="25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Comparisons!$B$18:$B$19</c:f>
              <c:strCache>
                <c:ptCount val="2"/>
                <c:pt idx="0">
                  <c:v>M</c:v>
                </c:pt>
                <c:pt idx="1">
                  <c:v>F</c:v>
                </c:pt>
              </c:strCache>
            </c:strRef>
          </c:cat>
          <c:val>
            <c:numRef>
              <c:f>Comparisons!$C$18:$C$19</c:f>
              <c:numCache>
                <c:formatCode>General</c:formatCode>
                <c:ptCount val="2"/>
                <c:pt idx="0">
                  <c:v>274</c:v>
                </c:pt>
                <c:pt idx="1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0B-48BE-91A0-4153D159AB3D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</c:plotArea>
    <c:legend>
      <c:legendPos val="l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Comparisons!$C$23</c:f>
              <c:strCache>
                <c:ptCount val="1"/>
                <c:pt idx="0">
                  <c:v>Proven Victims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Comparisons!$B$24:$B$36</c:f>
              <c:strCache>
                <c:ptCount val="12"/>
                <c:pt idx="0">
                  <c:v>Aquarius</c:v>
                </c:pt>
                <c:pt idx="1">
                  <c:v>Scorpio</c:v>
                </c:pt>
                <c:pt idx="2">
                  <c:v>Capricorn</c:v>
                </c:pt>
                <c:pt idx="3">
                  <c:v>Pisces</c:v>
                </c:pt>
                <c:pt idx="4">
                  <c:v>Aries</c:v>
                </c:pt>
                <c:pt idx="5">
                  <c:v>Libra</c:v>
                </c:pt>
                <c:pt idx="6">
                  <c:v>Sagittarius</c:v>
                </c:pt>
                <c:pt idx="7">
                  <c:v>Cancer</c:v>
                </c:pt>
                <c:pt idx="8">
                  <c:v>Gemini</c:v>
                </c:pt>
                <c:pt idx="9">
                  <c:v>Taurus</c:v>
                </c:pt>
                <c:pt idx="10">
                  <c:v>Leo</c:v>
                </c:pt>
                <c:pt idx="11">
                  <c:v>Virgo</c:v>
                </c:pt>
              </c:strCache>
            </c:strRef>
          </c:cat>
          <c:val>
            <c:numRef>
              <c:f>Comparisons!$C$24:$C$36</c:f>
              <c:numCache>
                <c:formatCode>General</c:formatCode>
                <c:ptCount val="12"/>
                <c:pt idx="0">
                  <c:v>574</c:v>
                </c:pt>
                <c:pt idx="1">
                  <c:v>446</c:v>
                </c:pt>
                <c:pt idx="2">
                  <c:v>401</c:v>
                </c:pt>
                <c:pt idx="3">
                  <c:v>365</c:v>
                </c:pt>
                <c:pt idx="4">
                  <c:v>331</c:v>
                </c:pt>
                <c:pt idx="5">
                  <c:v>315</c:v>
                </c:pt>
                <c:pt idx="6">
                  <c:v>294</c:v>
                </c:pt>
                <c:pt idx="7">
                  <c:v>251</c:v>
                </c:pt>
                <c:pt idx="8">
                  <c:v>226</c:v>
                </c:pt>
                <c:pt idx="9">
                  <c:v>196</c:v>
                </c:pt>
                <c:pt idx="10">
                  <c:v>176</c:v>
                </c:pt>
                <c:pt idx="11">
                  <c:v>132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7B-4AC5-8AC3-F10C414E128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75"/>
        <c:axId val="195425792"/>
        <c:axId val="194059584"/>
      </c:barChart>
      <c:catAx>
        <c:axId val="195425792"/>
        <c:scaling>
          <c:orientation val="minMax"/>
        </c:scaling>
        <c:delete val="0"/>
        <c:axPos val="l"/>
        <c:majorGridlines/>
        <c:numFmt formatCode="General" sourceLinked="0"/>
        <c:majorTickMark val="none"/>
        <c:minorTickMark val="none"/>
        <c:tickLblPos val="nextTo"/>
        <c:crossAx val="194059584"/>
        <c:crosses val="autoZero"/>
        <c:auto val="1"/>
        <c:lblAlgn val="ctr"/>
        <c:lblOffset val="100"/>
        <c:noMultiLvlLbl val="0"/>
      </c:catAx>
      <c:valAx>
        <c:axId val="194059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95425792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Percentage of killers per country of origin</a:t>
            </a:r>
          </a:p>
          <a:p>
            <a:pPr>
              <a:defRPr/>
            </a:pPr>
            <a:endParaRPr lang="en-US"/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Comparisons!$C$39</c:f>
              <c:strCache>
                <c:ptCount val="1"/>
                <c:pt idx="0">
                  <c:v>Count of killers</c:v>
                </c:pt>
              </c:strCache>
            </c:strRef>
          </c:tx>
          <c:explosion val="25"/>
          <c:dLbls>
            <c:spPr>
              <a:noFill/>
              <a:ln>
                <a:noFill/>
              </a:ln>
              <a:effectLst/>
            </c:sp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Comparisons!$B$40:$B$51</c:f>
              <c:strCache>
                <c:ptCount val="12"/>
                <c:pt idx="0">
                  <c:v>United States</c:v>
                </c:pt>
                <c:pt idx="1">
                  <c:v>Russia</c:v>
                </c:pt>
                <c:pt idx="2">
                  <c:v>South Africa</c:v>
                </c:pt>
                <c:pt idx="3">
                  <c:v>United Kingdom</c:v>
                </c:pt>
                <c:pt idx="4">
                  <c:v>India</c:v>
                </c:pt>
                <c:pt idx="5">
                  <c:v>China</c:v>
                </c:pt>
                <c:pt idx="6">
                  <c:v>Brazil</c:v>
                </c:pt>
                <c:pt idx="7">
                  <c:v>France</c:v>
                </c:pt>
                <c:pt idx="8">
                  <c:v>Colombia</c:v>
                </c:pt>
                <c:pt idx="9">
                  <c:v>Germany</c:v>
                </c:pt>
                <c:pt idx="10">
                  <c:v>Japan</c:v>
                </c:pt>
                <c:pt idx="11">
                  <c:v>Other</c:v>
                </c:pt>
              </c:strCache>
            </c:strRef>
          </c:cat>
          <c:val>
            <c:numRef>
              <c:f>Comparisons!$C$40:$C$51</c:f>
              <c:numCache>
                <c:formatCode>General</c:formatCode>
                <c:ptCount val="12"/>
                <c:pt idx="0">
                  <c:v>96</c:v>
                </c:pt>
                <c:pt idx="1">
                  <c:v>40</c:v>
                </c:pt>
                <c:pt idx="2">
                  <c:v>19</c:v>
                </c:pt>
                <c:pt idx="3">
                  <c:v>13</c:v>
                </c:pt>
                <c:pt idx="4">
                  <c:v>10</c:v>
                </c:pt>
                <c:pt idx="5">
                  <c:v>9</c:v>
                </c:pt>
                <c:pt idx="6">
                  <c:v>8</c:v>
                </c:pt>
                <c:pt idx="7">
                  <c:v>8</c:v>
                </c:pt>
                <c:pt idx="8">
                  <c:v>7</c:v>
                </c:pt>
                <c:pt idx="9">
                  <c:v>7</c:v>
                </c:pt>
                <c:pt idx="10">
                  <c:v>6</c:v>
                </c:pt>
                <c:pt idx="11">
                  <c:v>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79-4CD8-A82F-1B70F3B82963}"/>
            </c:ext>
          </c:extLst>
        </c:ser>
        <c:dLbls>
          <c:dLblPos val="bestFit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47625</xdr:colOff>
      <xdr:row>0</xdr:row>
      <xdr:rowOff>171448</xdr:rowOff>
    </xdr:from>
    <xdr:to>
      <xdr:col>12</xdr:col>
      <xdr:colOff>85725</xdr:colOff>
      <xdr:row>24</xdr:row>
      <xdr:rowOff>38099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276226</xdr:colOff>
      <xdr:row>2</xdr:row>
      <xdr:rowOff>171449</xdr:rowOff>
    </xdr:from>
    <xdr:to>
      <xdr:col>14</xdr:col>
      <xdr:colOff>1257301</xdr:colOff>
      <xdr:row>21</xdr:row>
      <xdr:rowOff>180974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76200</xdr:colOff>
      <xdr:row>24</xdr:row>
      <xdr:rowOff>180975</xdr:rowOff>
    </xdr:from>
    <xdr:to>
      <xdr:col>10</xdr:col>
      <xdr:colOff>0</xdr:colOff>
      <xdr:row>39</xdr:row>
      <xdr:rowOff>66675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295275</xdr:colOff>
      <xdr:row>24</xdr:row>
      <xdr:rowOff>133349</xdr:rowOff>
    </xdr:from>
    <xdr:to>
      <xdr:col>13</xdr:col>
      <xdr:colOff>666750</xdr:colOff>
      <xdr:row>49</xdr:row>
      <xdr:rowOff>38100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I310" totalsRowShown="0" headerRowDxfId="30" dataDxfId="29">
  <tableColumns count="9">
    <tableColumn id="1" xr3:uid="{00000000-0010-0000-0000-000001000000}" name="Name" dataDxfId="28"/>
    <tableColumn id="2" xr3:uid="{00000000-0010-0000-0000-000002000000}" name="Country" dataDxfId="27"/>
    <tableColumn id="9" xr3:uid="{F523F66F-EF1E-4D1B-A42E-D5A06E2A7878}" name="Starting year" dataDxfId="26"/>
    <tableColumn id="10" xr3:uid="{1D472809-25A5-4F77-B037-3226BEB0D9DD}" name="End year" dataDxfId="25"/>
    <tableColumn id="3" xr3:uid="{00000000-0010-0000-0000-000003000000}" name="Years active" dataDxfId="24">
      <calculatedColumnFormula>Table1[[#This Row],[End year]]-Table1[[#This Row],[Starting year]]</calculatedColumnFormula>
    </tableColumn>
    <tableColumn id="5" xr3:uid="{00000000-0010-0000-0000-000005000000}" name="Birthdate" dataDxfId="23">
      <calculatedColumnFormula>DATE(1997,6,8)</calculatedColumnFormula>
    </tableColumn>
    <tableColumn id="7" xr3:uid="{00000000-0010-0000-0000-000007000000}" name="Gender" dataDxfId="22"/>
    <tableColumn id="6" xr3:uid="{00000000-0010-0000-0000-000006000000}" name="Zodiac sign" dataDxfId="21">
      <calculatedColumnFormula>VLOOKUP(DATE(2023,MONTH(F2),DAY(F2)),Signs!A:C,3)</calculatedColumnFormula>
    </tableColumn>
    <tableColumn id="4" xr3:uid="{00000000-0010-0000-0000-000004000000}" name="Proven victims" dataDxfId="20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B1:C14" headerRowDxfId="19" dataDxfId="18">
  <autoFilter ref="B1:C14" xr:uid="{00000000-0009-0000-0100-000002000000}">
    <filterColumn colId="0">
      <filters>
        <filter val="Aquarius"/>
        <filter val="Aries"/>
        <filter val="Cancer"/>
        <filter val="Capricorn"/>
        <filter val="Gemini"/>
        <filter val="Leo"/>
        <filter val="Libra"/>
        <filter val="Pisces"/>
        <filter val="Sagittarius"/>
        <filter val="Scorpio"/>
        <filter val="Taurus"/>
        <filter val="Virgo"/>
      </filters>
    </filterColumn>
  </autoFilter>
  <sortState xmlns:xlrd2="http://schemas.microsoft.com/office/spreadsheetml/2017/richdata2" ref="B4:C15">
    <sortCondition descending="1" ref="C1:C15"/>
  </sortState>
  <tableColumns count="2">
    <tableColumn id="1" xr3:uid="{00000000-0010-0000-0100-000001000000}" name="Zodiac of the killer" totalsRowLabel="Total" dataDxfId="17" totalsRowDxfId="16"/>
    <tableColumn id="2" xr3:uid="{00000000-0010-0000-0100-000002000000}" name="Amount of killers" totalsRowFunction="sum" dataDxfId="15" totalsRowDxfId="14">
      <calculatedColumnFormula>COUNTIF(Data!H:H,B2)</calculatedColumnFormula>
    </tableColumn>
  </tableColumns>
  <tableStyleInfo name="TableStyleDark3" showFirstColumn="1" showLastColumn="0" showRowStripes="1" showColumnStripes="1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3" displayName="Table3" ref="B17:C20" totalsRowShown="0" headerRowDxfId="13" dataDxfId="12">
  <autoFilter ref="B17:C20" xr:uid="{00000000-0009-0000-0100-000003000000}"/>
  <sortState xmlns:xlrd2="http://schemas.microsoft.com/office/spreadsheetml/2017/richdata2" ref="B19:C21">
    <sortCondition descending="1" ref="C18:C21"/>
  </sortState>
  <tableColumns count="2">
    <tableColumn id="1" xr3:uid="{00000000-0010-0000-0200-000001000000}" name="Gender of the killer" dataDxfId="11"/>
    <tableColumn id="2" xr3:uid="{00000000-0010-0000-0200-000002000000}" name="Amount" dataDxfId="10">
      <calculatedColumnFormula>COUNTIF(Data!G:G,B18)</calculatedColumnFormula>
    </tableColumn>
  </tableColumns>
  <tableStyleInfo name="TableStyleDark6" showFirstColumn="1" showLastColumn="0" showRowStripes="1" showColumnStripes="1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4" displayName="Table4" ref="B23:C36" totalsRowShown="0" headerRowDxfId="9" dataDxfId="8">
  <autoFilter ref="B23:C36" xr:uid="{00000000-0009-0000-0100-000004000000}">
    <filterColumn colId="0">
      <filters>
        <filter val="Aquarius"/>
        <filter val="Aries"/>
        <filter val="Cancer"/>
        <filter val="Capricorn"/>
        <filter val="Gemini"/>
        <filter val="Leo"/>
        <filter val="Libra"/>
        <filter val="Pisces"/>
        <filter val="Sagittarius"/>
        <filter val="Scorpio"/>
        <filter val="Taurus"/>
        <filter val="Virgo"/>
      </filters>
    </filterColumn>
  </autoFilter>
  <sortState xmlns:xlrd2="http://schemas.microsoft.com/office/spreadsheetml/2017/richdata2" ref="B25:C36">
    <sortCondition descending="1" ref="C23:C36"/>
  </sortState>
  <tableColumns count="2">
    <tableColumn id="1" xr3:uid="{00000000-0010-0000-0300-000001000000}" name="Zodiac of the killer" dataDxfId="7"/>
    <tableColumn id="2" xr3:uid="{00000000-0010-0000-0300-000002000000}" name="Proven Victims" dataDxfId="6">
      <calculatedColumnFormula>SUMIF(Table1[Zodiac sign],B24,Table1[Proven victims])</calculatedColumnFormula>
    </tableColumn>
  </tableColumns>
  <tableStyleInfo name="TableStyleDark5" showFirstColumn="1" showLastColumn="0" showRowStripes="1" showColumnStripes="1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5" displayName="Table5" ref="B39:C52" totalsRowCount="1" headerRowDxfId="5" dataDxfId="4">
  <autoFilter ref="B39:C51" xr:uid="{00000000-0009-0000-0100-000005000000}"/>
  <sortState xmlns:xlrd2="http://schemas.microsoft.com/office/spreadsheetml/2017/richdata2" ref="B40:C90">
    <sortCondition descending="1" ref="C39:C90"/>
  </sortState>
  <tableColumns count="2">
    <tableColumn id="1" xr3:uid="{00000000-0010-0000-0400-000001000000}" name="Country of origin" totalsRowLabel="Total" dataDxfId="3" totalsRowDxfId="2"/>
    <tableColumn id="2" xr3:uid="{00000000-0010-0000-0400-000002000000}" name="Count of killers" totalsRowFunction="sum" dataDxfId="1" totalsRowDxfId="0">
      <calculatedColumnFormula>COUNTIF(Data!B:B,B40)</calculatedColumnFormula>
    </tableColumn>
  </tableColumns>
  <tableStyleInfo name="TableStyleDark7" showFirstColumn="1" showLastColumn="0" showRowStripes="1" showColumnStripes="1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I310"/>
  <sheetViews>
    <sheetView zoomScaleNormal="100" workbookViewId="0">
      <selection activeCell="J6" sqref="J6"/>
    </sheetView>
  </sheetViews>
  <sheetFormatPr baseColWidth="10" defaultColWidth="24.28515625" defaultRowHeight="29.25" customHeight="1" x14ac:dyDescent="0.25"/>
  <cols>
    <col min="1" max="16384" width="24.28515625" style="2"/>
  </cols>
  <sheetData>
    <row r="1" spans="1:9" ht="29.25" customHeight="1" x14ac:dyDescent="0.25">
      <c r="A1" s="2" t="s">
        <v>0</v>
      </c>
      <c r="B1" s="2" t="s">
        <v>1</v>
      </c>
      <c r="C1" s="2" t="s">
        <v>392</v>
      </c>
      <c r="D1" s="2" t="s">
        <v>393</v>
      </c>
      <c r="E1" s="2" t="s">
        <v>2</v>
      </c>
      <c r="F1" s="2" t="s">
        <v>321</v>
      </c>
      <c r="G1" s="2" t="s">
        <v>371</v>
      </c>
      <c r="H1" s="2" t="s">
        <v>322</v>
      </c>
      <c r="I1" s="2" t="s">
        <v>3</v>
      </c>
    </row>
    <row r="2" spans="1:9" ht="29.25" customHeight="1" x14ac:dyDescent="0.25">
      <c r="A2" s="2" t="s">
        <v>4</v>
      </c>
      <c r="B2" s="3" t="s">
        <v>55</v>
      </c>
      <c r="C2" s="3">
        <v>1992</v>
      </c>
      <c r="D2" s="3">
        <v>1999</v>
      </c>
      <c r="E2" s="2">
        <f>Table1[[#This Row],[End year]]-Table1[[#This Row],[Starting year]]</f>
        <v>7</v>
      </c>
      <c r="F2" s="1">
        <v>20845</v>
      </c>
      <c r="G2" s="2" t="s">
        <v>372</v>
      </c>
      <c r="H2" s="2" t="str">
        <f>VLOOKUP(DATE(2023,MONTH(F2),DAY(F2)),Signs!A:C,3)</f>
        <v>Aquarius</v>
      </c>
      <c r="I2" s="2">
        <v>193</v>
      </c>
    </row>
    <row r="3" spans="1:9" ht="29.25" customHeight="1" x14ac:dyDescent="0.25">
      <c r="A3" s="2" t="s">
        <v>5</v>
      </c>
      <c r="B3" s="3" t="s">
        <v>55</v>
      </c>
      <c r="C3" s="3">
        <v>1969</v>
      </c>
      <c r="D3" s="3">
        <v>1979</v>
      </c>
      <c r="E3" s="2">
        <f>Table1[[#This Row],[End year]]-Table1[[#This Row],[Starting year]]</f>
        <v>10</v>
      </c>
      <c r="F3" s="1">
        <v>17814</v>
      </c>
      <c r="G3" s="2" t="s">
        <v>372</v>
      </c>
      <c r="H3" s="2" t="str">
        <f>VLOOKUP(DATE(2023,MONTH(F3),DAY(F3)),Signs!A:C,3)</f>
        <v>Libra</v>
      </c>
      <c r="I3" s="2">
        <v>110</v>
      </c>
    </row>
    <row r="4" spans="1:9" ht="29.25" customHeight="1" x14ac:dyDescent="0.25">
      <c r="A4" s="2" t="s">
        <v>378</v>
      </c>
      <c r="B4" s="2" t="s">
        <v>198</v>
      </c>
      <c r="C4" s="2">
        <v>1944</v>
      </c>
      <c r="D4" s="2">
        <v>1948</v>
      </c>
      <c r="E4" s="2">
        <f>Table1[[#This Row],[End year]]-Table1[[#This Row],[Starting year]]</f>
        <v>4</v>
      </c>
      <c r="F4" s="1" t="s">
        <v>200</v>
      </c>
      <c r="G4" s="2" t="s">
        <v>373</v>
      </c>
      <c r="H4" s="2" t="s">
        <v>200</v>
      </c>
      <c r="I4" s="2">
        <v>103</v>
      </c>
    </row>
    <row r="5" spans="1:9" ht="29.25" customHeight="1" x14ac:dyDescent="0.25">
      <c r="A5" s="2" t="s">
        <v>6</v>
      </c>
      <c r="B5" s="2" t="s">
        <v>7</v>
      </c>
      <c r="C5" s="2">
        <v>1998</v>
      </c>
      <c r="D5" s="2">
        <v>1999</v>
      </c>
      <c r="E5" s="2">
        <f>Table1[[#This Row],[End year]]-Table1[[#This Row],[Starting year]]</f>
        <v>1</v>
      </c>
      <c r="F5" s="1" t="s">
        <v>200</v>
      </c>
      <c r="G5" s="2" t="s">
        <v>372</v>
      </c>
      <c r="H5" s="2" t="s">
        <v>200</v>
      </c>
      <c r="I5" s="2">
        <v>100</v>
      </c>
    </row>
    <row r="6" spans="1:9" ht="29.25" customHeight="1" x14ac:dyDescent="0.25">
      <c r="A6" s="2" t="s">
        <v>8</v>
      </c>
      <c r="B6" s="2" t="s">
        <v>9</v>
      </c>
      <c r="C6" s="2">
        <v>1992</v>
      </c>
      <c r="D6" s="2">
        <v>2010</v>
      </c>
      <c r="E6" s="2">
        <f>Table1[[#This Row],[End year]]-Table1[[#This Row],[Starting year]]</f>
        <v>18</v>
      </c>
      <c r="F6" s="1">
        <v>23443</v>
      </c>
      <c r="G6" s="2" t="s">
        <v>372</v>
      </c>
      <c r="H6" s="2" t="str">
        <f>VLOOKUP(DATE(2023,MONTH(F6),DAY(F6)),Signs!A:C,3)</f>
        <v>Pisces</v>
      </c>
      <c r="I6" s="2">
        <v>83</v>
      </c>
    </row>
    <row r="7" spans="1:9" ht="29.25" customHeight="1" x14ac:dyDescent="0.25">
      <c r="A7" s="2" t="s">
        <v>10</v>
      </c>
      <c r="B7" s="2" t="s">
        <v>55</v>
      </c>
      <c r="C7" s="2">
        <v>1974</v>
      </c>
      <c r="D7" s="2">
        <v>1986</v>
      </c>
      <c r="E7" s="2">
        <f>Table1[[#This Row],[End year]]-Table1[[#This Row],[Starting year]]</f>
        <v>12</v>
      </c>
      <c r="F7" s="1">
        <v>10980</v>
      </c>
      <c r="G7" s="2" t="s">
        <v>372</v>
      </c>
      <c r="H7" s="2" t="str">
        <f>VLOOKUP(DATE(2023,MONTH(F7),DAY(F7)),Signs!A:C,3)</f>
        <v>Aquarius</v>
      </c>
      <c r="I7" s="2">
        <v>72</v>
      </c>
    </row>
    <row r="8" spans="1:9" ht="29.25" customHeight="1" x14ac:dyDescent="0.25">
      <c r="A8" s="2" t="s">
        <v>11</v>
      </c>
      <c r="B8" s="2" t="s">
        <v>12</v>
      </c>
      <c r="C8" s="2">
        <v>1967</v>
      </c>
      <c r="D8" s="2">
        <v>2003</v>
      </c>
      <c r="E8" s="2">
        <f>Table1[[#This Row],[End year]]-Table1[[#This Row],[Starting year]]</f>
        <v>36</v>
      </c>
      <c r="F8" s="1">
        <v>20026</v>
      </c>
      <c r="G8" s="2" t="s">
        <v>372</v>
      </c>
      <c r="H8" s="2" t="str">
        <f>VLOOKUP(DATE(2023,MONTH(F8),DAY(F8)),Signs!A:C,3)</f>
        <v>Scorpio</v>
      </c>
      <c r="I8" s="2">
        <v>71</v>
      </c>
    </row>
    <row r="9" spans="1:9" ht="29.25" customHeight="1" x14ac:dyDescent="0.25">
      <c r="A9" s="2" t="s">
        <v>13</v>
      </c>
      <c r="B9" s="2" t="s">
        <v>14</v>
      </c>
      <c r="C9" s="2">
        <v>1977</v>
      </c>
      <c r="D9" s="2">
        <v>1978</v>
      </c>
      <c r="E9" s="2">
        <f>Table1[[#This Row],[End year]]-Table1[[#This Row],[Starting year]]</f>
        <v>1</v>
      </c>
      <c r="F9" s="1" t="s">
        <v>200</v>
      </c>
      <c r="G9" s="2" t="s">
        <v>372</v>
      </c>
      <c r="H9" s="2" t="s">
        <v>200</v>
      </c>
      <c r="I9" s="2">
        <v>70</v>
      </c>
    </row>
    <row r="10" spans="1:9" ht="29.25" customHeight="1" x14ac:dyDescent="0.25">
      <c r="A10" s="2" t="s">
        <v>15</v>
      </c>
      <c r="B10" s="2" t="s">
        <v>16</v>
      </c>
      <c r="C10" s="2">
        <v>2000</v>
      </c>
      <c r="D10" s="2">
        <v>2003</v>
      </c>
      <c r="E10" s="2">
        <f>Table1[[#This Row],[End year]]-Table1[[#This Row],[Starting year]]</f>
        <v>3</v>
      </c>
      <c r="F10" s="1">
        <v>25036</v>
      </c>
      <c r="G10" s="2" t="s">
        <v>372</v>
      </c>
      <c r="H10" s="2" t="str">
        <f>VLOOKUP(DATE(2023,MONTH(F10),DAY(F10)),Signs!A:C,3)</f>
        <v>Cancer</v>
      </c>
      <c r="I10" s="2">
        <v>67</v>
      </c>
    </row>
    <row r="11" spans="1:9" ht="29.25" customHeight="1" x14ac:dyDescent="0.25">
      <c r="A11" s="2" t="s">
        <v>17</v>
      </c>
      <c r="B11" s="2" t="s">
        <v>18</v>
      </c>
      <c r="C11" s="2">
        <v>1970</v>
      </c>
      <c r="D11" s="2">
        <v>2005</v>
      </c>
      <c r="E11" s="2">
        <f>Table1[[#This Row],[End year]]-Table1[[#This Row],[Starting year]]</f>
        <v>35</v>
      </c>
      <c r="F11" s="1">
        <v>14769</v>
      </c>
      <c r="G11" s="2" t="s">
        <v>372</v>
      </c>
      <c r="H11" s="2" t="str">
        <f>VLOOKUP(DATE(2023,MONTH(F11),DAY(F11)),Signs!A:C,3)</f>
        <v>Gemini</v>
      </c>
      <c r="I11" s="2">
        <v>60</v>
      </c>
    </row>
    <row r="12" spans="1:9" ht="29.25" customHeight="1" x14ac:dyDescent="0.25">
      <c r="A12" s="2" t="s">
        <v>19</v>
      </c>
      <c r="B12" s="2" t="s">
        <v>20</v>
      </c>
      <c r="C12" s="2">
        <v>1981</v>
      </c>
      <c r="D12" s="2">
        <v>1983</v>
      </c>
      <c r="E12" s="2">
        <f>Table1[[#This Row],[End year]]-Table1[[#This Row],[Starting year]]</f>
        <v>2</v>
      </c>
      <c r="F12" s="1">
        <v>18997</v>
      </c>
      <c r="G12" s="2" t="s">
        <v>372</v>
      </c>
      <c r="H12" s="2" t="str">
        <f>VLOOKUP(DATE(2023,MONTH(F12),DAY(F12)),Signs!A:C,3)</f>
        <v>Capricorn</v>
      </c>
      <c r="I12" s="2">
        <v>58</v>
      </c>
    </row>
    <row r="13" spans="1:9" ht="29.25" customHeight="1" x14ac:dyDescent="0.25">
      <c r="A13" s="2" t="s">
        <v>21</v>
      </c>
      <c r="B13" s="2" t="s">
        <v>9</v>
      </c>
      <c r="C13" s="2">
        <v>1978</v>
      </c>
      <c r="D13" s="2">
        <v>1990</v>
      </c>
      <c r="E13" s="2">
        <f>Table1[[#This Row],[End year]]-Table1[[#This Row],[Starting year]]</f>
        <v>12</v>
      </c>
      <c r="F13" s="1">
        <v>13439</v>
      </c>
      <c r="G13" s="2" t="s">
        <v>372</v>
      </c>
      <c r="H13" s="2" t="str">
        <f>VLOOKUP(DATE(2023,MONTH(F13),DAY(F13)),Signs!A:C,3)</f>
        <v>Libra</v>
      </c>
      <c r="I13" s="2">
        <v>53</v>
      </c>
    </row>
    <row r="14" spans="1:9" ht="29.25" customHeight="1" x14ac:dyDescent="0.25">
      <c r="A14" s="2" t="s">
        <v>22</v>
      </c>
      <c r="B14" s="3" t="s">
        <v>113</v>
      </c>
      <c r="C14" s="3">
        <v>1989</v>
      </c>
      <c r="D14" s="3">
        <v>1996</v>
      </c>
      <c r="E14" s="2">
        <f>Table1[[#This Row],[End year]]-Table1[[#This Row],[Starting year]]</f>
        <v>7</v>
      </c>
      <c r="F14" s="1">
        <v>25409</v>
      </c>
      <c r="G14" s="2" t="s">
        <v>372</v>
      </c>
      <c r="H14" s="2" t="str">
        <f>VLOOKUP(DATE(2023,MONTH(F14),DAY(F14)),Signs!A:C,3)</f>
        <v>Leo</v>
      </c>
      <c r="I14" s="2">
        <v>52</v>
      </c>
    </row>
    <row r="15" spans="1:9" ht="29.25" customHeight="1" x14ac:dyDescent="0.25">
      <c r="A15" s="2" t="s">
        <v>23</v>
      </c>
      <c r="B15" s="2" t="s">
        <v>9</v>
      </c>
      <c r="C15" s="2">
        <v>1934</v>
      </c>
      <c r="D15" s="2">
        <v>1935</v>
      </c>
      <c r="E15" s="2">
        <f>Table1[[#This Row],[End year]]-Table1[[#This Row],[Starting year]]</f>
        <v>1</v>
      </c>
      <c r="F15" s="1" t="s">
        <v>200</v>
      </c>
      <c r="G15" s="2" t="s">
        <v>372</v>
      </c>
      <c r="H15" s="2" t="s">
        <v>200</v>
      </c>
      <c r="I15" s="2">
        <v>50</v>
      </c>
    </row>
    <row r="16" spans="1:9" ht="29.25" customHeight="1" x14ac:dyDescent="0.25">
      <c r="A16" s="2" t="s">
        <v>24</v>
      </c>
      <c r="B16" s="2" t="s">
        <v>12</v>
      </c>
      <c r="C16" s="2">
        <v>1982</v>
      </c>
      <c r="D16" s="2">
        <v>1982</v>
      </c>
      <c r="E16" s="2">
        <f>Table1[[#This Row],[End year]]-Table1[[#This Row],[Starting year]]</f>
        <v>0</v>
      </c>
      <c r="F16" s="1">
        <v>21507</v>
      </c>
      <c r="G16" s="2" t="s">
        <v>372</v>
      </c>
      <c r="H16" s="2" t="str">
        <f>VLOOKUP(DATE(2023,MONTH(F16),DAY(F16)),Signs!A:C,3)</f>
        <v>Scorpio</v>
      </c>
      <c r="I16" s="2">
        <v>50</v>
      </c>
    </row>
    <row r="17" spans="1:9" ht="29.25" customHeight="1" x14ac:dyDescent="0.25">
      <c r="A17" s="2" t="s">
        <v>25</v>
      </c>
      <c r="B17" s="2" t="s">
        <v>26</v>
      </c>
      <c r="C17" s="2">
        <v>1983</v>
      </c>
      <c r="D17" s="2">
        <v>2002</v>
      </c>
      <c r="E17" s="2">
        <f>Table1[[#This Row],[End year]]-Table1[[#This Row],[Starting year]]</f>
        <v>19</v>
      </c>
      <c r="F17" s="1">
        <v>18195</v>
      </c>
      <c r="G17" s="2" t="s">
        <v>372</v>
      </c>
      <c r="H17" s="2" t="str">
        <f>VLOOKUP(DATE(2023,MONTH(F17),DAY(F17)),Signs!A:C,3)</f>
        <v>Scorpio</v>
      </c>
      <c r="I17" s="2">
        <v>49</v>
      </c>
    </row>
    <row r="18" spans="1:9" ht="29.25" customHeight="1" x14ac:dyDescent="0.25">
      <c r="A18" s="2" t="s">
        <v>27</v>
      </c>
      <c r="B18" s="2" t="s">
        <v>18</v>
      </c>
      <c r="C18" s="2">
        <v>1982</v>
      </c>
      <c r="D18" s="2">
        <v>2000</v>
      </c>
      <c r="E18" s="2">
        <f>Table1[[#This Row],[End year]]-Table1[[#This Row],[Starting year]]</f>
        <v>18</v>
      </c>
      <c r="F18" s="1">
        <v>17947</v>
      </c>
      <c r="G18" s="2" t="s">
        <v>372</v>
      </c>
      <c r="H18" s="2" t="str">
        <f>VLOOKUP(DATE(2023,MONTH(F18),DAY(F18)),Signs!A:C,3)</f>
        <v>Aquarius</v>
      </c>
      <c r="I18" s="2">
        <v>49</v>
      </c>
    </row>
    <row r="19" spans="1:9" ht="29.25" customHeight="1" x14ac:dyDescent="0.25">
      <c r="A19" s="2" t="s">
        <v>28</v>
      </c>
      <c r="B19" s="2" t="s">
        <v>9</v>
      </c>
      <c r="C19" s="2">
        <v>1992</v>
      </c>
      <c r="D19" s="2">
        <v>2006</v>
      </c>
      <c r="E19" s="2">
        <f>Table1[[#This Row],[End year]]-Table1[[#This Row],[Starting year]]</f>
        <v>14</v>
      </c>
      <c r="F19" s="1">
        <v>27128</v>
      </c>
      <c r="G19" s="2" t="s">
        <v>372</v>
      </c>
      <c r="H19" s="2" t="str">
        <f>VLOOKUP(DATE(2023,MONTH(F19),DAY(F19)),Signs!A:C,3)</f>
        <v>Aries</v>
      </c>
      <c r="I19" s="2">
        <v>48</v>
      </c>
    </row>
    <row r="20" spans="1:9" ht="29.25" customHeight="1" x14ac:dyDescent="0.25">
      <c r="A20" s="2" t="s">
        <v>29</v>
      </c>
      <c r="B20" s="2" t="s">
        <v>16</v>
      </c>
      <c r="C20" s="2">
        <v>1995</v>
      </c>
      <c r="D20" s="2">
        <v>2003</v>
      </c>
      <c r="E20" s="2">
        <f>Table1[[#This Row],[End year]]-Table1[[#This Row],[Starting year]]</f>
        <v>8</v>
      </c>
      <c r="F20" s="1">
        <v>27410</v>
      </c>
      <c r="G20" s="2" t="s">
        <v>372</v>
      </c>
      <c r="H20" s="2" t="str">
        <f>VLOOKUP(DATE(2023,MONTH(F20),DAY(F20)),Signs!A:C,3)</f>
        <v>Capricorn</v>
      </c>
      <c r="I20" s="2">
        <v>45</v>
      </c>
    </row>
    <row r="21" spans="1:9" ht="29.25" customHeight="1" x14ac:dyDescent="0.25">
      <c r="A21" s="2" t="s">
        <v>30</v>
      </c>
      <c r="B21" s="2" t="s">
        <v>31</v>
      </c>
      <c r="C21" s="2">
        <v>1986</v>
      </c>
      <c r="D21" s="2">
        <v>1997</v>
      </c>
      <c r="E21" s="2">
        <f>Table1[[#This Row],[End year]]-Table1[[#This Row],[Starting year]]</f>
        <v>11</v>
      </c>
      <c r="F21" s="1">
        <v>17908</v>
      </c>
      <c r="G21" s="2" t="s">
        <v>372</v>
      </c>
      <c r="H21" s="2" t="str">
        <f>VLOOKUP(DATE(2023,MONTH(F21),DAY(F21)),Signs!A:C,3)</f>
        <v>Capricorn</v>
      </c>
      <c r="I21" s="2">
        <v>42</v>
      </c>
    </row>
    <row r="22" spans="1:9" ht="29.25" customHeight="1" x14ac:dyDescent="0.25">
      <c r="A22" s="2" t="s">
        <v>32</v>
      </c>
      <c r="B22" s="2" t="s">
        <v>14</v>
      </c>
      <c r="C22" s="2">
        <v>1965</v>
      </c>
      <c r="D22" s="2">
        <v>1968</v>
      </c>
      <c r="E22" s="2">
        <f>Table1[[#This Row],[End year]]-Table1[[#This Row],[Starting year]]</f>
        <v>3</v>
      </c>
      <c r="F22" s="1" t="s">
        <v>200</v>
      </c>
      <c r="G22" s="2" t="s">
        <v>372</v>
      </c>
      <c r="H22" s="2" t="s">
        <v>200</v>
      </c>
      <c r="I22" s="2">
        <v>41</v>
      </c>
    </row>
    <row r="23" spans="1:9" ht="29.25" customHeight="1" x14ac:dyDescent="0.25">
      <c r="A23" s="2" t="s">
        <v>33</v>
      </c>
      <c r="B23" s="2" t="s">
        <v>12</v>
      </c>
      <c r="C23" s="2">
        <v>2011</v>
      </c>
      <c r="D23" s="2">
        <v>2014</v>
      </c>
      <c r="E23" s="2">
        <f>Table1[[#This Row],[End year]]-Table1[[#This Row],[Starting year]]</f>
        <v>3</v>
      </c>
      <c r="F23" s="1">
        <v>32177</v>
      </c>
      <c r="G23" s="2" t="s">
        <v>372</v>
      </c>
      <c r="H23" s="2" t="str">
        <f>VLOOKUP(DATE(2023,MONTH(F23),DAY(F23)),Signs!A:C,3)</f>
        <v>Aquarius</v>
      </c>
      <c r="I23" s="2">
        <v>39</v>
      </c>
    </row>
    <row r="24" spans="1:9" ht="29.25" customHeight="1" x14ac:dyDescent="0.25">
      <c r="A24" s="2" t="s">
        <v>34</v>
      </c>
      <c r="B24" s="2" t="s">
        <v>35</v>
      </c>
      <c r="C24" s="2">
        <v>1994</v>
      </c>
      <c r="D24" s="2">
        <v>1995</v>
      </c>
      <c r="E24" s="2">
        <f>Table1[[#This Row],[End year]]-Table1[[#This Row],[Starting year]]</f>
        <v>1</v>
      </c>
      <c r="F24" s="1">
        <v>23698</v>
      </c>
      <c r="G24" s="2" t="s">
        <v>372</v>
      </c>
      <c r="H24" s="2" t="str">
        <f>VLOOKUP(DATE(2023,MONTH(F24),DAY(F24)),Signs!A:C,3)</f>
        <v>Scorpio</v>
      </c>
      <c r="I24" s="2">
        <v>38</v>
      </c>
    </row>
    <row r="25" spans="1:9" ht="29.25" customHeight="1" x14ac:dyDescent="0.25">
      <c r="A25" s="2" t="s">
        <v>36</v>
      </c>
      <c r="B25" s="3" t="s">
        <v>9</v>
      </c>
      <c r="C25" s="3">
        <v>1984</v>
      </c>
      <c r="D25" s="3">
        <v>2005</v>
      </c>
      <c r="E25" s="2">
        <f>Table1[[#This Row],[End year]]-Table1[[#This Row],[Starting year]]</f>
        <v>21</v>
      </c>
      <c r="F25" s="1">
        <v>19252</v>
      </c>
      <c r="G25" s="2" t="s">
        <v>372</v>
      </c>
      <c r="H25" s="2" t="str">
        <f>VLOOKUP(DATE(2023,MONTH(F25),DAY(F25)),Signs!A:C,3)</f>
        <v>Virgo</v>
      </c>
      <c r="I25" s="2">
        <v>36</v>
      </c>
    </row>
    <row r="26" spans="1:9" ht="29.25" customHeight="1" x14ac:dyDescent="0.25">
      <c r="A26" s="2" t="s">
        <v>37</v>
      </c>
      <c r="B26" s="2" t="s">
        <v>9</v>
      </c>
      <c r="C26" s="2">
        <v>1971</v>
      </c>
      <c r="D26" s="2">
        <v>1985</v>
      </c>
      <c r="E26" s="2">
        <f>Table1[[#This Row],[End year]]-Table1[[#This Row],[Starting year]]</f>
        <v>14</v>
      </c>
      <c r="F26" s="1">
        <v>17264</v>
      </c>
      <c r="G26" s="2" t="s">
        <v>372</v>
      </c>
      <c r="H26" s="2" t="str">
        <f>VLOOKUP(DATE(2023,MONTH(F26),DAY(F26)),Signs!A:C,3)</f>
        <v>Aries</v>
      </c>
      <c r="I26" s="2">
        <v>36</v>
      </c>
    </row>
    <row r="27" spans="1:9" ht="29.25" customHeight="1" x14ac:dyDescent="0.25">
      <c r="A27" s="2" t="s">
        <v>38</v>
      </c>
      <c r="B27" s="2" t="s">
        <v>39</v>
      </c>
      <c r="C27" s="2">
        <v>1906</v>
      </c>
      <c r="D27" s="2">
        <v>1906</v>
      </c>
      <c r="E27" s="2">
        <f>Table1[[#This Row],[End year]]-Table1[[#This Row],[Starting year]]</f>
        <v>0</v>
      </c>
      <c r="F27" s="1" t="s">
        <v>200</v>
      </c>
      <c r="G27" s="2" t="s">
        <v>372</v>
      </c>
      <c r="H27" s="2" t="s">
        <v>200</v>
      </c>
      <c r="I27" s="2">
        <v>36</v>
      </c>
    </row>
    <row r="28" spans="1:9" ht="29.25" customHeight="1" x14ac:dyDescent="0.25">
      <c r="A28" s="2" t="s">
        <v>40</v>
      </c>
      <c r="B28" s="3" t="s">
        <v>380</v>
      </c>
      <c r="C28" s="3">
        <v>1920</v>
      </c>
      <c r="D28" s="3">
        <v>1930</v>
      </c>
      <c r="E28" s="2">
        <f>Table1[[#This Row],[End year]]-Table1[[#This Row],[Starting year]]</f>
        <v>10</v>
      </c>
      <c r="F28" s="1" t="s">
        <v>200</v>
      </c>
      <c r="G28" s="2" t="s">
        <v>373</v>
      </c>
      <c r="H28" s="2" t="s">
        <v>200</v>
      </c>
      <c r="I28" s="2">
        <v>35</v>
      </c>
    </row>
    <row r="29" spans="1:9" ht="29.25" customHeight="1" x14ac:dyDescent="0.25">
      <c r="A29" s="2" t="s">
        <v>41</v>
      </c>
      <c r="B29" s="2" t="s">
        <v>18</v>
      </c>
      <c r="C29" s="2">
        <v>1974</v>
      </c>
      <c r="D29" s="2">
        <v>1978</v>
      </c>
      <c r="E29" s="2">
        <f>Table1[[#This Row],[End year]]-Table1[[#This Row],[Starting year]]</f>
        <v>4</v>
      </c>
      <c r="F29" s="1">
        <v>17130</v>
      </c>
      <c r="G29" s="2" t="s">
        <v>372</v>
      </c>
      <c r="H29" s="2" t="str">
        <f>VLOOKUP(DATE(2023,MONTH(F29),DAY(F29)),Signs!A:C,3)</f>
        <v>Sagittarius</v>
      </c>
      <c r="I29" s="2">
        <v>35</v>
      </c>
    </row>
    <row r="30" spans="1:9" ht="29.25" customHeight="1" x14ac:dyDescent="0.25">
      <c r="A30" s="2" t="s">
        <v>42</v>
      </c>
      <c r="B30" s="2" t="s">
        <v>18</v>
      </c>
      <c r="C30" s="2">
        <v>1911</v>
      </c>
      <c r="D30" s="2">
        <v>1911</v>
      </c>
      <c r="E30" s="2">
        <f>Table1[[#This Row],[End year]]-Table1[[#This Row],[Starting year]]</f>
        <v>0</v>
      </c>
      <c r="F30" s="1" t="s">
        <v>200</v>
      </c>
      <c r="G30" s="2" t="s">
        <v>373</v>
      </c>
      <c r="H30" s="2" t="s">
        <v>200</v>
      </c>
      <c r="I30" s="2">
        <v>35</v>
      </c>
    </row>
    <row r="31" spans="1:9" ht="29.25" customHeight="1" x14ac:dyDescent="0.25">
      <c r="A31" s="2" t="s">
        <v>43</v>
      </c>
      <c r="B31" s="2" t="s">
        <v>18</v>
      </c>
      <c r="C31" s="2">
        <v>1972</v>
      </c>
      <c r="D31" s="2">
        <v>1978</v>
      </c>
      <c r="E31" s="2">
        <f>Table1[[#This Row],[End year]]-Table1[[#This Row],[Starting year]]</f>
        <v>6</v>
      </c>
      <c r="F31" s="1">
        <v>15417</v>
      </c>
      <c r="G31" s="2" t="s">
        <v>372</v>
      </c>
      <c r="H31" s="2" t="str">
        <f>VLOOKUP(DATE(2023,MONTH(F31),DAY(F31)),Signs!A:C,3)</f>
        <v>Pisces</v>
      </c>
      <c r="I31" s="2">
        <v>33</v>
      </c>
    </row>
    <row r="32" spans="1:9" ht="29.25" customHeight="1" x14ac:dyDescent="0.25">
      <c r="A32" s="2" t="s">
        <v>44</v>
      </c>
      <c r="B32" s="3" t="s">
        <v>69</v>
      </c>
      <c r="C32" s="3">
        <v>1907</v>
      </c>
      <c r="D32" s="3">
        <v>1934</v>
      </c>
      <c r="E32" s="2">
        <f>Table1[[#This Row],[End year]]-Table1[[#This Row],[Starting year]]</f>
        <v>27</v>
      </c>
      <c r="F32" s="1" t="s">
        <v>200</v>
      </c>
      <c r="G32" s="2" t="s">
        <v>372</v>
      </c>
      <c r="H32" s="2" t="s">
        <v>200</v>
      </c>
      <c r="I32" s="2">
        <v>33</v>
      </c>
    </row>
    <row r="33" spans="1:9" ht="29.25" customHeight="1" x14ac:dyDescent="0.25">
      <c r="A33" s="2" t="s">
        <v>45</v>
      </c>
      <c r="B33" s="2" t="s">
        <v>9</v>
      </c>
      <c r="C33" s="2">
        <v>1921</v>
      </c>
      <c r="D33" s="2">
        <v>1923</v>
      </c>
      <c r="E33" s="2">
        <f>Table1[[#This Row],[End year]]-Table1[[#This Row],[Starting year]]</f>
        <v>2</v>
      </c>
      <c r="F33" s="1">
        <v>44927</v>
      </c>
      <c r="G33" s="2" t="s">
        <v>372</v>
      </c>
      <c r="H33" s="2" t="str">
        <f>VLOOKUP(DATE(2023,MONTH(F33),DAY(F33)),Signs!A:C,3)</f>
        <v>Capricorn</v>
      </c>
      <c r="I33" s="2">
        <v>33</v>
      </c>
    </row>
    <row r="34" spans="1:9" ht="29.25" customHeight="1" x14ac:dyDescent="0.25">
      <c r="A34" s="2" t="s">
        <v>46</v>
      </c>
      <c r="B34" s="2" t="s">
        <v>47</v>
      </c>
      <c r="C34" s="2">
        <v>1982</v>
      </c>
      <c r="D34" s="2">
        <v>1999</v>
      </c>
      <c r="E34" s="2">
        <f>Table1[[#This Row],[End year]]-Table1[[#This Row],[Starting year]]</f>
        <v>17</v>
      </c>
      <c r="F34" s="1">
        <v>23711</v>
      </c>
      <c r="G34" s="2" t="s">
        <v>372</v>
      </c>
      <c r="H34" s="2" t="str">
        <f>VLOOKUP(DATE(2023,MONTH(F34),DAY(F34)),Signs!A:C,3)</f>
        <v>Sagittarius</v>
      </c>
      <c r="I34" s="2">
        <v>33</v>
      </c>
    </row>
    <row r="35" spans="1:9" ht="29.25" customHeight="1" x14ac:dyDescent="0.25">
      <c r="A35" s="2" t="s">
        <v>48</v>
      </c>
      <c r="B35" s="2" t="s">
        <v>49</v>
      </c>
      <c r="C35" s="2">
        <v>1999</v>
      </c>
      <c r="D35" s="2">
        <v>2006</v>
      </c>
      <c r="E35" s="2">
        <f>Table1[[#This Row],[End year]]-Table1[[#This Row],[Starting year]]</f>
        <v>7</v>
      </c>
      <c r="F35" s="1" t="s">
        <v>200</v>
      </c>
      <c r="G35" s="2" t="s">
        <v>372</v>
      </c>
      <c r="H35" s="2" t="s">
        <v>200</v>
      </c>
      <c r="I35" s="2">
        <v>32</v>
      </c>
    </row>
    <row r="36" spans="1:9" ht="29.25" customHeight="1" x14ac:dyDescent="0.25">
      <c r="A36" s="2" t="s">
        <v>50</v>
      </c>
      <c r="B36" s="2" t="s">
        <v>9</v>
      </c>
      <c r="C36" s="2">
        <v>2011</v>
      </c>
      <c r="D36" s="2">
        <v>2012</v>
      </c>
      <c r="E36" s="2">
        <f>Table1[[#This Row],[End year]]-Table1[[#This Row],[Starting year]]</f>
        <v>1</v>
      </c>
      <c r="F36" s="1">
        <v>34059</v>
      </c>
      <c r="G36" s="2" t="s">
        <v>372</v>
      </c>
      <c r="H36" s="2" t="str">
        <f>VLOOKUP(DATE(2023,MONTH(F36),DAY(F36)),Signs!A:C,3)</f>
        <v>Aries</v>
      </c>
      <c r="I36" s="2">
        <v>32</v>
      </c>
    </row>
    <row r="37" spans="1:9" ht="29.25" customHeight="1" x14ac:dyDescent="0.25">
      <c r="A37" s="2" t="s">
        <v>51</v>
      </c>
      <c r="B37" s="2" t="s">
        <v>52</v>
      </c>
      <c r="C37" s="2">
        <v>1900</v>
      </c>
      <c r="D37" s="2">
        <v>1924</v>
      </c>
      <c r="E37" s="2">
        <f>Table1[[#This Row],[End year]]-Table1[[#This Row],[Starting year]]</f>
        <v>24</v>
      </c>
      <c r="F37" s="1">
        <v>44968</v>
      </c>
      <c r="G37" s="2" t="s">
        <v>372</v>
      </c>
      <c r="H37" s="2" t="str">
        <f>VLOOKUP(DATE(2023,MONTH(F37),DAY(F37)),Signs!A:C,3)</f>
        <v>Aquarius</v>
      </c>
      <c r="I37" s="2">
        <v>30</v>
      </c>
    </row>
    <row r="38" spans="1:9" ht="29.25" customHeight="1" x14ac:dyDescent="0.25">
      <c r="A38" s="2" t="s">
        <v>53</v>
      </c>
      <c r="B38" s="2" t="s">
        <v>12</v>
      </c>
      <c r="C38" s="2">
        <v>1989</v>
      </c>
      <c r="D38" s="2">
        <v>2003</v>
      </c>
      <c r="E38" s="2">
        <f>Table1[[#This Row],[End year]]-Table1[[#This Row],[Starting year]]</f>
        <v>14</v>
      </c>
      <c r="F38" s="1" t="s">
        <v>200</v>
      </c>
      <c r="G38" s="2" t="s">
        <v>372</v>
      </c>
      <c r="H38" s="2" t="s">
        <v>200</v>
      </c>
      <c r="I38" s="2">
        <v>30</v>
      </c>
    </row>
    <row r="39" spans="1:9" ht="29.25" customHeight="1" x14ac:dyDescent="0.25">
      <c r="A39" s="2" t="s">
        <v>54</v>
      </c>
      <c r="B39" s="2" t="s">
        <v>55</v>
      </c>
      <c r="C39" s="2">
        <v>2010</v>
      </c>
      <c r="D39" s="2">
        <v>2013</v>
      </c>
      <c r="E39" s="2">
        <f>Table1[[#This Row],[End year]]-Table1[[#This Row],[Starting year]]</f>
        <v>3</v>
      </c>
      <c r="F39" s="1">
        <v>29494</v>
      </c>
      <c r="G39" s="2" t="s">
        <v>372</v>
      </c>
      <c r="H39" s="2" t="str">
        <f>VLOOKUP(DATE(2023,MONTH(F39),DAY(F39)),Signs!A:C,3)</f>
        <v>Libra</v>
      </c>
      <c r="I39" s="2">
        <v>30</v>
      </c>
    </row>
    <row r="40" spans="1:9" ht="29.25" customHeight="1" x14ac:dyDescent="0.25">
      <c r="A40" s="2" t="s">
        <v>56</v>
      </c>
      <c r="B40" s="2" t="s">
        <v>57</v>
      </c>
      <c r="C40" s="2">
        <v>2000</v>
      </c>
      <c r="D40" s="2">
        <v>2001</v>
      </c>
      <c r="E40" s="2">
        <f>Table1[[#This Row],[End year]]-Table1[[#This Row],[Starting year]]</f>
        <v>1</v>
      </c>
      <c r="F40" s="1" t="s">
        <v>200</v>
      </c>
      <c r="G40" s="2" t="s">
        <v>372</v>
      </c>
      <c r="H40" s="2" t="s">
        <v>200</v>
      </c>
      <c r="I40" s="2">
        <v>28</v>
      </c>
    </row>
    <row r="41" spans="1:9" ht="29.25" customHeight="1" x14ac:dyDescent="0.25">
      <c r="A41" s="2" t="s">
        <v>58</v>
      </c>
      <c r="B41" s="2" t="s">
        <v>16</v>
      </c>
      <c r="C41" s="2">
        <v>1993</v>
      </c>
      <c r="D41" s="2">
        <v>2000</v>
      </c>
      <c r="E41" s="2">
        <f>Table1[[#This Row],[End year]]-Table1[[#This Row],[Starting year]]</f>
        <v>7</v>
      </c>
      <c r="F41" s="1">
        <v>24324</v>
      </c>
      <c r="G41" s="2" t="s">
        <v>372</v>
      </c>
      <c r="H41" s="2" t="str">
        <f>VLOOKUP(DATE(2023,MONTH(F41),DAY(F41)),Signs!A:C,3)</f>
        <v>Leo</v>
      </c>
      <c r="I41" s="2">
        <v>28</v>
      </c>
    </row>
    <row r="42" spans="1:9" ht="29.25" customHeight="1" x14ac:dyDescent="0.25">
      <c r="A42" s="2" t="s">
        <v>59</v>
      </c>
      <c r="B42" s="2" t="s">
        <v>35</v>
      </c>
      <c r="C42" s="2">
        <v>1996</v>
      </c>
      <c r="D42" s="2">
        <v>1997</v>
      </c>
      <c r="E42" s="2">
        <f>Table1[[#This Row],[End year]]-Table1[[#This Row],[Starting year]]</f>
        <v>1</v>
      </c>
      <c r="F42" s="1" t="s">
        <v>200</v>
      </c>
      <c r="G42" s="2" t="s">
        <v>372</v>
      </c>
      <c r="H42" s="2" t="s">
        <v>200</v>
      </c>
      <c r="I42" s="2">
        <v>27</v>
      </c>
    </row>
    <row r="43" spans="1:9" ht="29.25" customHeight="1" x14ac:dyDescent="0.25">
      <c r="A43" s="2" t="s">
        <v>60</v>
      </c>
      <c r="B43" s="2" t="s">
        <v>61</v>
      </c>
      <c r="C43" s="2">
        <v>1939</v>
      </c>
      <c r="D43" s="2">
        <v>1951</v>
      </c>
      <c r="E43" s="2">
        <f>Table1[[#This Row],[End year]]-Table1[[#This Row],[Starting year]]</f>
        <v>12</v>
      </c>
      <c r="F43" s="1" t="s">
        <v>200</v>
      </c>
      <c r="G43" s="2" t="s">
        <v>372</v>
      </c>
      <c r="H43" s="2" t="s">
        <v>200</v>
      </c>
      <c r="I43" s="2">
        <v>27</v>
      </c>
    </row>
    <row r="44" spans="1:9" ht="29.25" customHeight="1" x14ac:dyDescent="0.25">
      <c r="A44" s="2" t="s">
        <v>62</v>
      </c>
      <c r="B44" s="2" t="s">
        <v>63</v>
      </c>
      <c r="C44" s="2">
        <v>1973</v>
      </c>
      <c r="D44" s="2">
        <v>1979</v>
      </c>
      <c r="E44" s="2">
        <f>Table1[[#This Row],[End year]]-Table1[[#This Row],[Starting year]]</f>
        <v>6</v>
      </c>
      <c r="F44" s="1">
        <v>22128</v>
      </c>
      <c r="G44" s="2" t="s">
        <v>372</v>
      </c>
      <c r="H44" s="2" t="str">
        <f>VLOOKUP(DATE(2023,MONTH(F44),DAY(F44)),Signs!A:C,3)</f>
        <v>Leo</v>
      </c>
      <c r="I44" s="2">
        <v>26</v>
      </c>
    </row>
    <row r="45" spans="1:9" ht="29.25" customHeight="1" x14ac:dyDescent="0.25">
      <c r="A45" s="2" t="s">
        <v>64</v>
      </c>
      <c r="B45" s="2" t="s">
        <v>14</v>
      </c>
      <c r="C45" s="2">
        <v>1985</v>
      </c>
      <c r="D45" s="2">
        <v>1989</v>
      </c>
      <c r="E45" s="2">
        <f>Table1[[#This Row],[End year]]-Table1[[#This Row],[Starting year]]</f>
        <v>4</v>
      </c>
      <c r="F45" s="1" t="s">
        <v>200</v>
      </c>
      <c r="G45" s="2" t="s">
        <v>374</v>
      </c>
      <c r="H45" s="2" t="s">
        <v>200</v>
      </c>
      <c r="I45" s="2">
        <v>25</v>
      </c>
    </row>
    <row r="46" spans="1:9" ht="29.25" customHeight="1" x14ac:dyDescent="0.25">
      <c r="A46" s="2" t="s">
        <v>65</v>
      </c>
      <c r="B46" s="2" t="s">
        <v>18</v>
      </c>
      <c r="C46" s="2">
        <v>1971</v>
      </c>
      <c r="D46" s="2">
        <v>1971</v>
      </c>
      <c r="E46" s="2">
        <f>Table1[[#This Row],[End year]]-Table1[[#This Row],[Starting year]]</f>
        <v>0</v>
      </c>
      <c r="F46" s="1">
        <v>12457</v>
      </c>
      <c r="G46" s="2" t="s">
        <v>372</v>
      </c>
      <c r="H46" s="2" t="str">
        <f>VLOOKUP(DATE(2023,MONTH(F46),DAY(F46)),Signs!A:C,3)</f>
        <v>Aquarius</v>
      </c>
      <c r="I46" s="2">
        <v>25</v>
      </c>
    </row>
    <row r="47" spans="1:9" ht="29.25" customHeight="1" x14ac:dyDescent="0.25">
      <c r="A47" s="2" t="s">
        <v>66</v>
      </c>
      <c r="B47" s="2" t="s">
        <v>52</v>
      </c>
      <c r="C47" s="2">
        <v>1918</v>
      </c>
      <c r="D47" s="2">
        <v>1924</v>
      </c>
      <c r="E47" s="2">
        <f>Table1[[#This Row],[End year]]-Table1[[#This Row],[Starting year]]</f>
        <v>6</v>
      </c>
      <c r="F47" s="1">
        <v>29153</v>
      </c>
      <c r="G47" s="2" t="s">
        <v>372</v>
      </c>
      <c r="H47" s="2" t="str">
        <f>VLOOKUP(DATE(2023,MONTH(F47),DAY(F47)),Signs!A:C,3)</f>
        <v>Scorpio</v>
      </c>
      <c r="I47" s="2">
        <v>24</v>
      </c>
    </row>
    <row r="48" spans="1:9" ht="29.25" customHeight="1" x14ac:dyDescent="0.25">
      <c r="A48" s="2" t="s">
        <v>67</v>
      </c>
      <c r="B48" s="2" t="s">
        <v>381</v>
      </c>
      <c r="C48" s="2">
        <v>1912</v>
      </c>
      <c r="D48" s="2">
        <v>1916</v>
      </c>
      <c r="E48" s="2">
        <f>Table1[[#This Row],[End year]]-Table1[[#This Row],[Starting year]]</f>
        <v>4</v>
      </c>
      <c r="F48" s="1" t="s">
        <v>200</v>
      </c>
      <c r="G48" s="2" t="s">
        <v>372</v>
      </c>
      <c r="H48" s="2" t="s">
        <v>200</v>
      </c>
      <c r="I48" s="2">
        <v>24</v>
      </c>
    </row>
    <row r="49" spans="1:9" ht="29.25" customHeight="1" x14ac:dyDescent="0.25">
      <c r="A49" s="2" t="s">
        <v>68</v>
      </c>
      <c r="B49" s="2" t="s">
        <v>69</v>
      </c>
      <c r="C49" s="2">
        <v>1981</v>
      </c>
      <c r="D49" s="2">
        <v>1985</v>
      </c>
      <c r="E49" s="2">
        <f>Table1[[#This Row],[End year]]-Table1[[#This Row],[Starting year]]</f>
        <v>4</v>
      </c>
      <c r="F49" s="1" t="s">
        <v>200</v>
      </c>
      <c r="G49" s="2" t="s">
        <v>372</v>
      </c>
      <c r="H49" s="2" t="s">
        <v>200</v>
      </c>
      <c r="I49" s="2">
        <v>24</v>
      </c>
    </row>
    <row r="50" spans="1:9" ht="29.25" customHeight="1" x14ac:dyDescent="0.25">
      <c r="A50" s="2" t="s">
        <v>70</v>
      </c>
      <c r="B50" s="3" t="s">
        <v>103</v>
      </c>
      <c r="C50" s="3">
        <v>1989</v>
      </c>
      <c r="D50" s="3">
        <v>2006</v>
      </c>
      <c r="E50" s="2">
        <f>Table1[[#This Row],[End year]]-Table1[[#This Row],[Starting year]]</f>
        <v>17</v>
      </c>
      <c r="F50" s="1">
        <v>22263</v>
      </c>
      <c r="G50" s="2" t="s">
        <v>372</v>
      </c>
      <c r="H50" s="2" t="str">
        <f>VLOOKUP(DATE(2023,MONTH(F50),DAY(F50)),Signs!A:C,3)</f>
        <v>Sagittarius</v>
      </c>
      <c r="I50" s="2">
        <v>23</v>
      </c>
    </row>
    <row r="51" spans="1:9" ht="29.25" customHeight="1" x14ac:dyDescent="0.25">
      <c r="A51" s="2" t="s">
        <v>71</v>
      </c>
      <c r="B51" s="2" t="s">
        <v>18</v>
      </c>
      <c r="C51" s="2">
        <v>1997</v>
      </c>
      <c r="D51" s="2">
        <v>2006</v>
      </c>
      <c r="E51" s="2">
        <f>Table1[[#This Row],[End year]]-Table1[[#This Row],[Starting year]]</f>
        <v>9</v>
      </c>
      <c r="F51" s="1">
        <v>23385</v>
      </c>
      <c r="G51" s="2" t="s">
        <v>372</v>
      </c>
      <c r="H51" s="2" t="str">
        <f>VLOOKUP(DATE(2023,MONTH(F51),DAY(F51)),Signs!A:C,3)</f>
        <v>Capricorn</v>
      </c>
      <c r="I51" s="2">
        <v>23</v>
      </c>
    </row>
    <row r="52" spans="1:9" ht="29.25" customHeight="1" x14ac:dyDescent="0.25">
      <c r="A52" s="2" t="s">
        <v>72</v>
      </c>
      <c r="B52" s="2" t="s">
        <v>73</v>
      </c>
      <c r="C52" s="2">
        <v>1991</v>
      </c>
      <c r="D52" s="2">
        <v>1992</v>
      </c>
      <c r="E52" s="2">
        <f>Table1[[#This Row],[End year]]-Table1[[#This Row],[Starting year]]</f>
        <v>1</v>
      </c>
      <c r="F52" s="1">
        <v>27818</v>
      </c>
      <c r="G52" s="2" t="s">
        <v>372</v>
      </c>
      <c r="H52" s="2" t="str">
        <f>VLOOKUP(DATE(2023,MONTH(F52),DAY(F52)),Signs!A:C,3)</f>
        <v>Pisces</v>
      </c>
      <c r="I52" s="2">
        <v>23</v>
      </c>
    </row>
    <row r="53" spans="1:9" ht="29.25" customHeight="1" x14ac:dyDescent="0.25">
      <c r="A53" s="2" t="s">
        <v>74</v>
      </c>
      <c r="B53" s="3" t="s">
        <v>18</v>
      </c>
      <c r="C53" s="3">
        <v>1926</v>
      </c>
      <c r="D53" s="3">
        <v>1927</v>
      </c>
      <c r="E53" s="2">
        <f>Table1[[#This Row],[End year]]-Table1[[#This Row],[Starting year]]</f>
        <v>1</v>
      </c>
      <c r="F53" s="1">
        <v>35562</v>
      </c>
      <c r="G53" s="2" t="s">
        <v>372</v>
      </c>
      <c r="H53" s="2" t="str">
        <f>VLOOKUP(DATE(2023,MONTH(F53),DAY(F53)),Signs!A:C,3)</f>
        <v>Taurus</v>
      </c>
      <c r="I53" s="2">
        <v>22</v>
      </c>
    </row>
    <row r="54" spans="1:9" ht="29.25" customHeight="1" x14ac:dyDescent="0.25">
      <c r="A54" s="2" t="s">
        <v>75</v>
      </c>
      <c r="B54" s="3" t="s">
        <v>9</v>
      </c>
      <c r="C54" s="3">
        <v>1977</v>
      </c>
      <c r="D54" s="3">
        <v>1995</v>
      </c>
      <c r="E54" s="2">
        <f>Table1[[#This Row],[End year]]-Table1[[#This Row],[Starting year]]</f>
        <v>18</v>
      </c>
      <c r="F54" s="1">
        <v>26799</v>
      </c>
      <c r="G54" s="2" t="s">
        <v>372</v>
      </c>
      <c r="H54" s="2" t="str">
        <f>VLOOKUP(DATE(2023,MONTH(F54),DAY(F54)),Signs!A:C,3)</f>
        <v>Taurus</v>
      </c>
      <c r="I54" s="2">
        <v>22</v>
      </c>
    </row>
    <row r="55" spans="1:9" ht="29.25" customHeight="1" x14ac:dyDescent="0.25">
      <c r="A55" s="2" t="s">
        <v>76</v>
      </c>
      <c r="B55" s="2" t="s">
        <v>55</v>
      </c>
      <c r="C55" s="2">
        <v>1999</v>
      </c>
      <c r="D55" s="2">
        <v>2003</v>
      </c>
      <c r="E55" s="2">
        <f>Table1[[#This Row],[End year]]-Table1[[#This Row],[Starting year]]</f>
        <v>4</v>
      </c>
      <c r="F55" s="1">
        <v>22569</v>
      </c>
      <c r="G55" s="2" t="s">
        <v>372</v>
      </c>
      <c r="H55" s="2" t="str">
        <f>VLOOKUP(DATE(2023,MONTH(F55),DAY(F55)),Signs!A:C,3)</f>
        <v>Libra</v>
      </c>
      <c r="I55" s="2">
        <v>21</v>
      </c>
    </row>
    <row r="56" spans="1:9" ht="29.25" customHeight="1" x14ac:dyDescent="0.25">
      <c r="A56" s="2" t="s">
        <v>77</v>
      </c>
      <c r="B56" s="2" t="s">
        <v>18</v>
      </c>
      <c r="C56" s="2">
        <v>1965</v>
      </c>
      <c r="D56" s="2">
        <v>1977</v>
      </c>
      <c r="E56" s="2">
        <f>Table1[[#This Row],[End year]]-Table1[[#This Row],[Starting year]]</f>
        <v>12</v>
      </c>
      <c r="F56" s="1">
        <v>14512</v>
      </c>
      <c r="G56" s="2" t="s">
        <v>372</v>
      </c>
      <c r="H56" s="2" t="str">
        <f>VLOOKUP(DATE(2023,MONTH(F56),DAY(F56)),Signs!A:C,3)</f>
        <v>Libra</v>
      </c>
      <c r="I56" s="2">
        <v>21</v>
      </c>
    </row>
    <row r="57" spans="1:9" ht="29.25" customHeight="1" x14ac:dyDescent="0.25">
      <c r="A57" s="2" t="s">
        <v>78</v>
      </c>
      <c r="B57" s="2" t="s">
        <v>18</v>
      </c>
      <c r="C57" s="2">
        <v>1979</v>
      </c>
      <c r="D57" s="2">
        <v>1980</v>
      </c>
      <c r="E57" s="2">
        <f>Table1[[#This Row],[End year]]-Table1[[#This Row],[Starting year]]</f>
        <v>1</v>
      </c>
      <c r="F57" s="1">
        <v>17175</v>
      </c>
      <c r="G57" s="2" t="s">
        <v>372</v>
      </c>
      <c r="H57" s="2" t="str">
        <f>VLOOKUP(DATE(2023,MONTH(F57),DAY(F57)),Signs!A:C,3)</f>
        <v>Capricorn</v>
      </c>
      <c r="I57" s="2">
        <v>21</v>
      </c>
    </row>
    <row r="58" spans="1:9" ht="29.25" customHeight="1" x14ac:dyDescent="0.25">
      <c r="A58" s="2" t="s">
        <v>79</v>
      </c>
      <c r="B58" s="2" t="s">
        <v>80</v>
      </c>
      <c r="C58" s="2">
        <v>1917</v>
      </c>
      <c r="D58" s="2">
        <v>1935</v>
      </c>
      <c r="E58" s="2">
        <f>Table1[[#This Row],[End year]]-Table1[[#This Row],[Starting year]]</f>
        <v>18</v>
      </c>
      <c r="F58" s="1" t="s">
        <v>200</v>
      </c>
      <c r="G58" s="2" t="s">
        <v>372</v>
      </c>
      <c r="H58" s="2" t="s">
        <v>200</v>
      </c>
      <c r="I58" s="2">
        <v>21</v>
      </c>
    </row>
    <row r="59" spans="1:9" ht="29.25" customHeight="1" x14ac:dyDescent="0.25">
      <c r="A59" s="2" t="s">
        <v>81</v>
      </c>
      <c r="B59" s="2" t="s">
        <v>82</v>
      </c>
      <c r="C59" s="2">
        <v>2003</v>
      </c>
      <c r="D59" s="2">
        <v>2004</v>
      </c>
      <c r="E59" s="2">
        <f>Table1[[#This Row],[End year]]-Table1[[#This Row],[Starting year]]</f>
        <v>1</v>
      </c>
      <c r="F59" s="1">
        <v>25676</v>
      </c>
      <c r="G59" s="2" t="s">
        <v>372</v>
      </c>
      <c r="H59" s="2" t="str">
        <f>VLOOKUP(DATE(2023,MONTH(F59),DAY(F59)),Signs!A:C,3)</f>
        <v>Aries</v>
      </c>
      <c r="I59" s="2">
        <v>21</v>
      </c>
    </row>
    <row r="60" spans="1:9" ht="29.25" customHeight="1" x14ac:dyDescent="0.25">
      <c r="A60" s="2" t="s">
        <v>83</v>
      </c>
      <c r="B60" s="2" t="s">
        <v>47</v>
      </c>
      <c r="C60" s="2">
        <v>1880</v>
      </c>
      <c r="D60" s="2">
        <v>1908</v>
      </c>
      <c r="E60" s="2">
        <f>Table1[[#This Row],[End year]]-Table1[[#This Row],[Starting year]]</f>
        <v>28</v>
      </c>
      <c r="F60" s="1" t="s">
        <v>200</v>
      </c>
      <c r="G60" s="2" t="s">
        <v>372</v>
      </c>
      <c r="H60" s="2" t="s">
        <v>200</v>
      </c>
      <c r="I60" s="2">
        <v>21</v>
      </c>
    </row>
    <row r="61" spans="1:9" ht="29.25" customHeight="1" x14ac:dyDescent="0.25">
      <c r="A61" s="2" t="s">
        <v>84</v>
      </c>
      <c r="B61" s="2" t="s">
        <v>85</v>
      </c>
      <c r="C61" s="2">
        <v>1990</v>
      </c>
      <c r="D61" s="2">
        <v>2002</v>
      </c>
      <c r="E61" s="2">
        <f>Table1[[#This Row],[End year]]-Table1[[#This Row],[Starting year]]</f>
        <v>12</v>
      </c>
      <c r="F61" s="1" t="s">
        <v>200</v>
      </c>
      <c r="G61" s="2" t="s">
        <v>372</v>
      </c>
      <c r="H61" s="4" t="s">
        <v>200</v>
      </c>
      <c r="I61" s="2">
        <v>20</v>
      </c>
    </row>
    <row r="62" spans="1:9" ht="29.25" customHeight="1" x14ac:dyDescent="0.25">
      <c r="A62" s="2" t="s">
        <v>86</v>
      </c>
      <c r="B62" s="2" t="s">
        <v>12</v>
      </c>
      <c r="C62" s="2">
        <v>1970</v>
      </c>
      <c r="D62" s="2">
        <v>1971</v>
      </c>
      <c r="E62" s="2">
        <f>Table1[[#This Row],[End year]]-Table1[[#This Row],[Starting year]]</f>
        <v>1</v>
      </c>
      <c r="F62" s="1">
        <v>16783</v>
      </c>
      <c r="G62" s="2" t="s">
        <v>372</v>
      </c>
      <c r="H62" s="2" t="str">
        <f>VLOOKUP(DATE(2023,MONTH(F62),DAY(F62)),Signs!A:C,3)</f>
        <v>Sagittarius</v>
      </c>
      <c r="I62" s="2">
        <v>20</v>
      </c>
    </row>
    <row r="63" spans="1:9" ht="29.25" customHeight="1" x14ac:dyDescent="0.25">
      <c r="A63" s="2" t="s">
        <v>87</v>
      </c>
      <c r="B63" s="2" t="s">
        <v>35</v>
      </c>
      <c r="C63" s="2">
        <v>2007</v>
      </c>
      <c r="D63" s="2">
        <v>2012</v>
      </c>
      <c r="E63" s="2">
        <f>Table1[[#This Row],[End year]]-Table1[[#This Row],[Starting year]]</f>
        <v>5</v>
      </c>
      <c r="F63" s="1" t="s">
        <v>200</v>
      </c>
      <c r="G63" s="2" t="s">
        <v>372</v>
      </c>
      <c r="H63" s="4" t="s">
        <v>200</v>
      </c>
      <c r="I63" s="2">
        <v>20</v>
      </c>
    </row>
    <row r="64" spans="1:9" ht="29.25" customHeight="1" x14ac:dyDescent="0.25">
      <c r="A64" s="2" t="s">
        <v>88</v>
      </c>
      <c r="B64" s="2" t="s">
        <v>14</v>
      </c>
      <c r="C64" s="2">
        <v>2005</v>
      </c>
      <c r="D64" s="2">
        <v>2009</v>
      </c>
      <c r="E64" s="2">
        <f>Table1[[#This Row],[End year]]-Table1[[#This Row],[Starting year]]</f>
        <v>4</v>
      </c>
      <c r="F64" s="1">
        <v>12571</v>
      </c>
      <c r="G64" s="2" t="s">
        <v>372</v>
      </c>
      <c r="H64" s="2" t="str">
        <f>VLOOKUP(DATE(2023,MONTH(F64),DAY(F64)),Signs!A:C,3)</f>
        <v>Gemini</v>
      </c>
      <c r="I64" s="2">
        <v>20</v>
      </c>
    </row>
    <row r="65" spans="1:9" ht="29.25" customHeight="1" x14ac:dyDescent="0.25">
      <c r="A65" s="2" t="s">
        <v>89</v>
      </c>
      <c r="B65" s="2" t="s">
        <v>9</v>
      </c>
      <c r="C65" s="2">
        <v>1991</v>
      </c>
      <c r="D65" s="2">
        <v>1996</v>
      </c>
      <c r="E65" s="2">
        <f>Table1[[#This Row],[End year]]-Table1[[#This Row],[Starting year]]</f>
        <v>5</v>
      </c>
      <c r="F65" s="1">
        <v>25628</v>
      </c>
      <c r="G65" s="2" t="s">
        <v>372</v>
      </c>
      <c r="H65" s="2" t="str">
        <f>VLOOKUP(DATE(2023,MONTH(F65),DAY(F65)),Signs!A:C,3)</f>
        <v>Pisces</v>
      </c>
      <c r="I65" s="2">
        <v>19</v>
      </c>
    </row>
    <row r="66" spans="1:9" ht="29.25" customHeight="1" x14ac:dyDescent="0.25">
      <c r="A66" s="2" t="s">
        <v>90</v>
      </c>
      <c r="B66" s="2" t="s">
        <v>18</v>
      </c>
      <c r="C66" s="2">
        <v>1982</v>
      </c>
      <c r="D66" s="2">
        <v>1984</v>
      </c>
      <c r="E66" s="2">
        <f>Table1[[#This Row],[End year]]-Table1[[#This Row],[Starting year]]</f>
        <v>2</v>
      </c>
      <c r="F66" s="1">
        <v>19349</v>
      </c>
      <c r="G66" s="2" t="s">
        <v>372</v>
      </c>
      <c r="H66" s="2" t="str">
        <f>VLOOKUP(DATE(2023,MONTH(F66),DAY(F66)),Signs!A:C,3)</f>
        <v>Sagittarius</v>
      </c>
      <c r="I66" s="2">
        <v>19</v>
      </c>
    </row>
    <row r="67" spans="1:9" ht="29.25" customHeight="1" x14ac:dyDescent="0.25">
      <c r="A67" s="2" t="s">
        <v>91</v>
      </c>
      <c r="B67" s="2" t="s">
        <v>14</v>
      </c>
      <c r="C67" s="2">
        <v>2005</v>
      </c>
      <c r="D67" s="2">
        <v>2006</v>
      </c>
      <c r="E67" s="2">
        <f>Table1[[#This Row],[End year]]-Table1[[#This Row],[Starting year]]</f>
        <v>1</v>
      </c>
      <c r="F67" s="1" t="s">
        <v>200</v>
      </c>
      <c r="G67" s="2" t="s">
        <v>372</v>
      </c>
      <c r="H67" s="2" t="s">
        <v>200</v>
      </c>
      <c r="I67" s="2">
        <v>19</v>
      </c>
    </row>
    <row r="68" spans="1:9" ht="29.25" customHeight="1" x14ac:dyDescent="0.25">
      <c r="A68" s="2" t="s">
        <v>92</v>
      </c>
      <c r="B68" s="2" t="s">
        <v>93</v>
      </c>
      <c r="C68" s="2">
        <v>1986</v>
      </c>
      <c r="D68" s="2">
        <v>1996</v>
      </c>
      <c r="E68" s="2">
        <f>Table1[[#This Row],[End year]]-Table1[[#This Row],[Starting year]]</f>
        <v>10</v>
      </c>
      <c r="F68" s="1" t="s">
        <v>200</v>
      </c>
      <c r="G68" s="2" t="s">
        <v>374</v>
      </c>
      <c r="H68" s="4" t="s">
        <v>200</v>
      </c>
      <c r="I68" s="2">
        <v>19</v>
      </c>
    </row>
    <row r="69" spans="1:9" ht="29.25" customHeight="1" x14ac:dyDescent="0.25">
      <c r="A69" s="2" t="s">
        <v>94</v>
      </c>
      <c r="B69" s="3" t="s">
        <v>9</v>
      </c>
      <c r="C69" s="3">
        <v>1988</v>
      </c>
      <c r="D69" s="3">
        <v>1993</v>
      </c>
      <c r="E69" s="2">
        <f>Table1[[#This Row],[End year]]-Table1[[#This Row],[Starting year]]</f>
        <v>5</v>
      </c>
      <c r="F69" s="1">
        <v>23009</v>
      </c>
      <c r="G69" s="2" t="s">
        <v>372</v>
      </c>
      <c r="H69" s="2" t="str">
        <f>VLOOKUP(DATE(2023,MONTH(F69),DAY(F69)),Signs!A:C,3)</f>
        <v>Capricorn</v>
      </c>
      <c r="I69" s="2">
        <v>19</v>
      </c>
    </row>
    <row r="70" spans="1:9" ht="29.25" customHeight="1" x14ac:dyDescent="0.25">
      <c r="A70" s="2" t="s">
        <v>95</v>
      </c>
      <c r="B70" s="2" t="s">
        <v>9</v>
      </c>
      <c r="C70" s="2">
        <v>1998</v>
      </c>
      <c r="D70" s="2">
        <v>2006</v>
      </c>
      <c r="E70" s="2">
        <f>Table1[[#This Row],[End year]]-Table1[[#This Row],[Starting year]]</f>
        <v>8</v>
      </c>
      <c r="F70" s="1">
        <v>23815</v>
      </c>
      <c r="G70" s="2" t="s">
        <v>372</v>
      </c>
      <c r="H70" s="2" t="str">
        <f>VLOOKUP(DATE(2023,MONTH(F70),DAY(F70)),Signs!A:C,3)</f>
        <v>Pisces</v>
      </c>
      <c r="I70" s="2">
        <v>19</v>
      </c>
    </row>
    <row r="71" spans="1:9" ht="29.25" customHeight="1" x14ac:dyDescent="0.25">
      <c r="A71" s="2" t="s">
        <v>96</v>
      </c>
      <c r="B71" s="2" t="s">
        <v>14</v>
      </c>
      <c r="C71" s="2">
        <v>2008</v>
      </c>
      <c r="D71" s="2">
        <v>2011</v>
      </c>
      <c r="E71" s="2">
        <f>Table1[[#This Row],[End year]]-Table1[[#This Row],[Starting year]]</f>
        <v>3</v>
      </c>
      <c r="F71" s="1" t="s">
        <v>200</v>
      </c>
      <c r="G71" s="2" t="s">
        <v>372</v>
      </c>
      <c r="H71" s="4" t="s">
        <v>200</v>
      </c>
      <c r="I71" s="2">
        <v>19</v>
      </c>
    </row>
    <row r="72" spans="1:9" ht="29.25" customHeight="1" x14ac:dyDescent="0.25">
      <c r="A72" s="2" t="s">
        <v>335</v>
      </c>
      <c r="B72" s="2" t="s">
        <v>97</v>
      </c>
      <c r="C72" s="2">
        <v>1920</v>
      </c>
      <c r="D72" s="2">
        <v>1926</v>
      </c>
      <c r="E72" s="2">
        <f>Table1[[#This Row],[End year]]-Table1[[#This Row],[Starting year]]</f>
        <v>6</v>
      </c>
      <c r="F72" s="1">
        <v>35005</v>
      </c>
      <c r="G72" s="2" t="s">
        <v>372</v>
      </c>
      <c r="H72" s="2" t="str">
        <f>VLOOKUP(DATE(2023,MONTH(F72),DAY(F72)),Signs!A:C,3)</f>
        <v>Scorpio</v>
      </c>
      <c r="I72" s="2">
        <v>19</v>
      </c>
    </row>
    <row r="73" spans="1:9" ht="29.25" customHeight="1" x14ac:dyDescent="0.25">
      <c r="A73" s="2" t="s">
        <v>98</v>
      </c>
      <c r="B73" s="2" t="s">
        <v>9</v>
      </c>
      <c r="C73" s="2">
        <v>1992</v>
      </c>
      <c r="D73" s="2">
        <v>1995</v>
      </c>
      <c r="E73" s="2">
        <f>Table1[[#This Row],[End year]]-Table1[[#This Row],[Starting year]]</f>
        <v>3</v>
      </c>
      <c r="F73" s="1">
        <v>26710</v>
      </c>
      <c r="G73" s="2" t="s">
        <v>372</v>
      </c>
      <c r="H73" s="2" t="str">
        <f>VLOOKUP(DATE(2023,MONTH(F73),DAY(F73)),Signs!A:C,3)</f>
        <v>Aquarius</v>
      </c>
      <c r="I73" s="2">
        <v>19</v>
      </c>
    </row>
    <row r="74" spans="1:9" ht="29.25" customHeight="1" x14ac:dyDescent="0.25">
      <c r="A74" s="2" t="s">
        <v>99</v>
      </c>
      <c r="B74" s="2" t="s">
        <v>35</v>
      </c>
      <c r="C74" s="2">
        <v>1998</v>
      </c>
      <c r="D74" s="2">
        <v>1998</v>
      </c>
      <c r="E74" s="2">
        <f>Table1[[#This Row],[End year]]-Table1[[#This Row],[Starting year]]</f>
        <v>0</v>
      </c>
      <c r="F74" s="1" t="s">
        <v>200</v>
      </c>
      <c r="G74" s="2" t="s">
        <v>372</v>
      </c>
      <c r="H74" s="4" t="s">
        <v>200</v>
      </c>
      <c r="I74" s="2">
        <v>19</v>
      </c>
    </row>
    <row r="75" spans="1:9" ht="29.25" customHeight="1" x14ac:dyDescent="0.25">
      <c r="A75" s="2" t="s">
        <v>336</v>
      </c>
      <c r="B75" s="2" t="s">
        <v>100</v>
      </c>
      <c r="C75" s="2">
        <v>1994</v>
      </c>
      <c r="D75" s="2">
        <v>2002</v>
      </c>
      <c r="E75" s="2">
        <f>Table1[[#This Row],[End year]]-Table1[[#This Row],[Starting year]]</f>
        <v>8</v>
      </c>
      <c r="F75" s="1" t="s">
        <v>200</v>
      </c>
      <c r="G75" s="2" t="s">
        <v>372</v>
      </c>
      <c r="H75" s="4" t="s">
        <v>200</v>
      </c>
      <c r="I75" s="2">
        <v>18</v>
      </c>
    </row>
    <row r="76" spans="1:9" ht="29.25" customHeight="1" x14ac:dyDescent="0.25">
      <c r="A76" s="2" t="s">
        <v>101</v>
      </c>
      <c r="B76" s="2" t="s">
        <v>18</v>
      </c>
      <c r="C76" s="2">
        <v>1974</v>
      </c>
      <c r="D76" s="2">
        <v>1974</v>
      </c>
      <c r="E76" s="2">
        <f>Table1[[#This Row],[End year]]-Table1[[#This Row],[Starting year]]</f>
        <v>0</v>
      </c>
      <c r="F76" s="1">
        <v>16917</v>
      </c>
      <c r="G76" s="2" t="s">
        <v>372</v>
      </c>
      <c r="H76" s="2" t="str">
        <f>VLOOKUP(DATE(2023,MONTH(F76),DAY(F76)),Signs!A:C,3)</f>
        <v>Taurus</v>
      </c>
      <c r="I76" s="2">
        <v>18</v>
      </c>
    </row>
    <row r="77" spans="1:9" ht="29.25" customHeight="1" x14ac:dyDescent="0.25">
      <c r="A77" s="2" t="s">
        <v>102</v>
      </c>
      <c r="B77" s="2" t="s">
        <v>103</v>
      </c>
      <c r="C77" s="2">
        <v>1984</v>
      </c>
      <c r="D77" s="2">
        <v>1987</v>
      </c>
      <c r="E77" s="2">
        <f>Table1[[#This Row],[End year]]-Table1[[#This Row],[Starting year]]</f>
        <v>3</v>
      </c>
      <c r="F77" s="1">
        <v>23343</v>
      </c>
      <c r="G77" s="2" t="s">
        <v>372</v>
      </c>
      <c r="H77" s="2" t="str">
        <f>VLOOKUP(DATE(2023,MONTH(F77),DAY(F77)),Signs!A:C,3)</f>
        <v>Sagittarius</v>
      </c>
      <c r="I77" s="2">
        <v>18</v>
      </c>
    </row>
    <row r="78" spans="1:9" ht="29.25" customHeight="1" x14ac:dyDescent="0.25">
      <c r="A78" s="2" t="s">
        <v>104</v>
      </c>
      <c r="B78" s="2" t="s">
        <v>18</v>
      </c>
      <c r="C78" s="2">
        <v>1979</v>
      </c>
      <c r="D78" s="2">
        <v>1981</v>
      </c>
      <c r="E78" s="2">
        <f>Table1[[#This Row],[End year]]-Table1[[#This Row],[Starting year]]</f>
        <v>2</v>
      </c>
      <c r="F78" s="1">
        <v>18623</v>
      </c>
      <c r="G78" s="2" t="s">
        <v>372</v>
      </c>
      <c r="H78" s="2" t="str">
        <f>VLOOKUP(DATE(2023,MONTH(F78),DAY(F78)),Signs!A:C,3)</f>
        <v>Capricorn</v>
      </c>
      <c r="I78" s="2">
        <v>18</v>
      </c>
    </row>
    <row r="79" spans="1:9" ht="29.25" customHeight="1" x14ac:dyDescent="0.25">
      <c r="A79" s="2" t="s">
        <v>105</v>
      </c>
      <c r="B79" s="2" t="s">
        <v>14</v>
      </c>
      <c r="C79" s="2">
        <v>1996</v>
      </c>
      <c r="D79" s="2">
        <v>2002</v>
      </c>
      <c r="E79" s="2">
        <f>Table1[[#This Row],[End year]]-Table1[[#This Row],[Starting year]]</f>
        <v>6</v>
      </c>
      <c r="F79" s="1" t="s">
        <v>200</v>
      </c>
      <c r="G79" s="2" t="s">
        <v>372</v>
      </c>
      <c r="H79" s="4" t="s">
        <v>200</v>
      </c>
      <c r="I79" s="2">
        <v>18</v>
      </c>
    </row>
    <row r="80" spans="1:9" ht="29.25" customHeight="1" x14ac:dyDescent="0.25">
      <c r="A80" s="2" t="s">
        <v>106</v>
      </c>
      <c r="B80" s="2" t="s">
        <v>35</v>
      </c>
      <c r="C80" s="2">
        <v>1994</v>
      </c>
      <c r="D80" s="2">
        <v>1995</v>
      </c>
      <c r="E80" s="2">
        <f>Table1[[#This Row],[End year]]-Table1[[#This Row],[Starting year]]</f>
        <v>1</v>
      </c>
      <c r="F80" s="1" t="s">
        <v>200</v>
      </c>
      <c r="G80" s="2" t="s">
        <v>372</v>
      </c>
      <c r="H80" s="4" t="s">
        <v>200</v>
      </c>
      <c r="I80" s="2">
        <v>18</v>
      </c>
    </row>
    <row r="81" spans="1:9" ht="29.25" customHeight="1" x14ac:dyDescent="0.25">
      <c r="A81" s="2" t="s">
        <v>107</v>
      </c>
      <c r="B81" s="2" t="s">
        <v>35</v>
      </c>
      <c r="C81" s="2">
        <v>2001</v>
      </c>
      <c r="D81" s="2">
        <v>2001</v>
      </c>
      <c r="E81" s="2">
        <f>Table1[[#This Row],[End year]]-Table1[[#This Row],[Starting year]]</f>
        <v>0</v>
      </c>
      <c r="F81" s="1" t="s">
        <v>200</v>
      </c>
      <c r="G81" s="2" t="s">
        <v>372</v>
      </c>
      <c r="H81" s="4" t="s">
        <v>200</v>
      </c>
      <c r="I81" s="2">
        <v>18</v>
      </c>
    </row>
    <row r="82" spans="1:9" ht="29.25" customHeight="1" x14ac:dyDescent="0.25">
      <c r="A82" s="2" t="s">
        <v>108</v>
      </c>
      <c r="B82" s="2" t="s">
        <v>16</v>
      </c>
      <c r="C82" s="2">
        <v>2001</v>
      </c>
      <c r="D82" s="2">
        <v>2003</v>
      </c>
      <c r="E82" s="2">
        <f>Table1[[#This Row],[End year]]-Table1[[#This Row],[Starting year]]</f>
        <v>2</v>
      </c>
      <c r="F82" s="1">
        <v>27351</v>
      </c>
      <c r="G82" s="2" t="s">
        <v>372</v>
      </c>
      <c r="H82" s="2" t="str">
        <f>VLOOKUP(DATE(2023,MONTH(F82),DAY(F82)),Signs!A:C,3)</f>
        <v>Scorpio</v>
      </c>
      <c r="I82" s="2">
        <v>17</v>
      </c>
    </row>
    <row r="83" spans="1:9" ht="29.25" customHeight="1" x14ac:dyDescent="0.25">
      <c r="A83" s="2" t="s">
        <v>109</v>
      </c>
      <c r="B83" s="2" t="s">
        <v>110</v>
      </c>
      <c r="C83" s="2">
        <v>2005</v>
      </c>
      <c r="D83" s="2">
        <v>2006</v>
      </c>
      <c r="E83" s="2">
        <f>Table1[[#This Row],[End year]]-Table1[[#This Row],[Starting year]]</f>
        <v>1</v>
      </c>
      <c r="F83" s="1">
        <v>26723</v>
      </c>
      <c r="G83" s="2" t="s">
        <v>372</v>
      </c>
      <c r="H83" s="2" t="str">
        <f>VLOOKUP(DATE(2023,MONTH(F83),DAY(F83)),Signs!A:C,3)</f>
        <v>Pisces</v>
      </c>
      <c r="I83" s="2">
        <v>17</v>
      </c>
    </row>
    <row r="84" spans="1:9" ht="29.25" customHeight="1" x14ac:dyDescent="0.25">
      <c r="A84" s="2" t="s">
        <v>111</v>
      </c>
      <c r="B84" s="2" t="s">
        <v>14</v>
      </c>
      <c r="C84" s="2">
        <v>2004</v>
      </c>
      <c r="D84" s="2">
        <v>2004</v>
      </c>
      <c r="E84" s="2">
        <f>Table1[[#This Row],[End year]]-Table1[[#This Row],[Starting year]]</f>
        <v>0</v>
      </c>
      <c r="F84" s="1">
        <v>5885</v>
      </c>
      <c r="G84" s="2" t="s">
        <v>372</v>
      </c>
      <c r="H84" s="2" t="str">
        <f>VLOOKUP(DATE(2023,MONTH(F84),DAY(F84)),Signs!A:C,3)</f>
        <v>Aquarius</v>
      </c>
      <c r="I84" s="2">
        <v>17</v>
      </c>
    </row>
    <row r="85" spans="1:9" ht="29.25" customHeight="1" x14ac:dyDescent="0.25">
      <c r="A85" s="2" t="s">
        <v>112</v>
      </c>
      <c r="B85" s="2" t="s">
        <v>113</v>
      </c>
      <c r="C85" s="2">
        <v>1992</v>
      </c>
      <c r="D85" s="2">
        <v>2002</v>
      </c>
      <c r="E85" s="2">
        <f>Table1[[#This Row],[End year]]-Table1[[#This Row],[Starting year]]</f>
        <v>10</v>
      </c>
      <c r="F85" s="1">
        <v>26480</v>
      </c>
      <c r="G85" s="2" t="s">
        <v>372</v>
      </c>
      <c r="H85" s="2" t="str">
        <f>VLOOKUP(DATE(2023,MONTH(F85),DAY(F85)),Signs!A:C,3)</f>
        <v>Cancer</v>
      </c>
      <c r="I85" s="2">
        <v>17</v>
      </c>
    </row>
    <row r="86" spans="1:9" ht="29.25" customHeight="1" x14ac:dyDescent="0.25">
      <c r="A86" s="2" t="s">
        <v>114</v>
      </c>
      <c r="B86" s="2" t="s">
        <v>20</v>
      </c>
      <c r="C86" s="2">
        <v>1997</v>
      </c>
      <c r="D86" s="2">
        <v>1998</v>
      </c>
      <c r="E86" s="2">
        <f>Table1[[#This Row],[End year]]-Table1[[#This Row],[Starting year]]</f>
        <v>1</v>
      </c>
      <c r="F86" s="1">
        <v>18819</v>
      </c>
      <c r="G86" s="2" t="s">
        <v>372</v>
      </c>
      <c r="H86" s="2" t="str">
        <f>VLOOKUP(DATE(2023,MONTH(F86),DAY(F86)),Signs!A:C,3)</f>
        <v>Cancer</v>
      </c>
      <c r="I86" s="2">
        <v>17</v>
      </c>
    </row>
    <row r="87" spans="1:9" ht="29.25" customHeight="1" x14ac:dyDescent="0.25">
      <c r="A87" s="2" t="s">
        <v>115</v>
      </c>
      <c r="B87" s="2" t="s">
        <v>9</v>
      </c>
      <c r="C87" s="2">
        <v>2002</v>
      </c>
      <c r="D87" s="2">
        <v>2010</v>
      </c>
      <c r="E87" s="2">
        <f>Table1[[#This Row],[End year]]-Table1[[#This Row],[Starting year]]</f>
        <v>8</v>
      </c>
      <c r="F87" s="1">
        <v>26367</v>
      </c>
      <c r="G87" s="2" t="s">
        <v>373</v>
      </c>
      <c r="H87" s="2" t="str">
        <f>VLOOKUP(DATE(2023,MONTH(F87),DAY(F87)),Signs!A:C,3)</f>
        <v>Pisces</v>
      </c>
      <c r="I87" s="2">
        <v>17</v>
      </c>
    </row>
    <row r="88" spans="1:9" ht="29.25" customHeight="1" x14ac:dyDescent="0.25">
      <c r="A88" s="2" t="s">
        <v>116</v>
      </c>
      <c r="B88" s="2" t="s">
        <v>18</v>
      </c>
      <c r="C88" s="2">
        <v>1971</v>
      </c>
      <c r="D88" s="2">
        <v>1983</v>
      </c>
      <c r="E88" s="2">
        <f>Table1[[#This Row],[End year]]-Table1[[#This Row],[Starting year]]</f>
        <v>12</v>
      </c>
      <c r="F88" s="1">
        <v>16515</v>
      </c>
      <c r="G88" s="2" t="s">
        <v>372</v>
      </c>
      <c r="H88" s="2" t="str">
        <f>VLOOKUP(DATE(2023,MONTH(F88),DAY(F88)),Signs!A:C,3)</f>
        <v>Pisces</v>
      </c>
      <c r="I88" s="2">
        <v>16</v>
      </c>
    </row>
    <row r="89" spans="1:9" ht="29.25" customHeight="1" x14ac:dyDescent="0.25">
      <c r="A89" s="2" t="s">
        <v>117</v>
      </c>
      <c r="B89" s="2" t="s">
        <v>69</v>
      </c>
      <c r="C89" s="2">
        <v>2004</v>
      </c>
      <c r="D89" s="2">
        <v>2004</v>
      </c>
      <c r="E89" s="2">
        <f>Table1[[#This Row],[End year]]-Table1[[#This Row],[Starting year]]</f>
        <v>0</v>
      </c>
      <c r="F89" s="1">
        <v>29624</v>
      </c>
      <c r="G89" s="2" t="s">
        <v>372</v>
      </c>
      <c r="H89" s="2" t="str">
        <f>VLOOKUP(DATE(2023,MONTH(F89),DAY(F89)),Signs!A:C,3)</f>
        <v>Aquarius</v>
      </c>
      <c r="I89" s="2">
        <v>16</v>
      </c>
    </row>
    <row r="90" spans="1:9" ht="29.25" customHeight="1" x14ac:dyDescent="0.25">
      <c r="A90" s="2" t="s">
        <v>118</v>
      </c>
      <c r="B90" s="3" t="s">
        <v>103</v>
      </c>
      <c r="C90" s="3">
        <v>1987</v>
      </c>
      <c r="D90" s="3">
        <v>2001</v>
      </c>
      <c r="E90" s="2">
        <f>Table1[[#This Row],[End year]]-Table1[[#This Row],[Starting year]]</f>
        <v>14</v>
      </c>
      <c r="F90" s="1">
        <v>15435</v>
      </c>
      <c r="G90" s="2" t="s">
        <v>372</v>
      </c>
      <c r="H90" s="2" t="str">
        <f>VLOOKUP(DATE(2023,MONTH(F90),DAY(F90)),Signs!A:C,3)</f>
        <v>Aries</v>
      </c>
      <c r="I90" s="2">
        <v>16</v>
      </c>
    </row>
    <row r="91" spans="1:9" ht="29.25" customHeight="1" x14ac:dyDescent="0.25">
      <c r="A91" s="2" t="s">
        <v>119</v>
      </c>
      <c r="B91" s="2" t="s">
        <v>35</v>
      </c>
      <c r="C91" s="2">
        <v>1996</v>
      </c>
      <c r="D91" s="2">
        <v>1997</v>
      </c>
      <c r="E91" s="2">
        <f>Table1[[#This Row],[End year]]-Table1[[#This Row],[Starting year]]</f>
        <v>1</v>
      </c>
      <c r="F91" s="1" t="s">
        <v>200</v>
      </c>
      <c r="G91" s="2" t="s">
        <v>372</v>
      </c>
      <c r="H91" s="4" t="s">
        <v>200</v>
      </c>
      <c r="I91" s="2">
        <v>16</v>
      </c>
    </row>
    <row r="92" spans="1:9" ht="29.25" customHeight="1" x14ac:dyDescent="0.25">
      <c r="A92" s="2" t="s">
        <v>120</v>
      </c>
      <c r="B92" s="2" t="s">
        <v>69</v>
      </c>
      <c r="C92" s="2">
        <v>2000</v>
      </c>
      <c r="D92" s="2">
        <v>2001</v>
      </c>
      <c r="E92" s="2">
        <f>Table1[[#This Row],[End year]]-Table1[[#This Row],[Starting year]]</f>
        <v>1</v>
      </c>
      <c r="F92" s="1">
        <v>22741</v>
      </c>
      <c r="G92" s="2" t="s">
        <v>372</v>
      </c>
      <c r="H92" s="2" t="str">
        <f>VLOOKUP(DATE(2023,MONTH(F92),DAY(F92)),Signs!A:C,3)</f>
        <v>Aries</v>
      </c>
      <c r="I92" s="2">
        <v>16</v>
      </c>
    </row>
    <row r="93" spans="1:9" ht="29.25" customHeight="1" x14ac:dyDescent="0.25">
      <c r="A93" s="2" t="s">
        <v>121</v>
      </c>
      <c r="B93" s="2" t="s">
        <v>18</v>
      </c>
      <c r="C93" s="2">
        <v>1978</v>
      </c>
      <c r="D93" s="2">
        <v>1991</v>
      </c>
      <c r="E93" s="2">
        <f>Table1[[#This Row],[End year]]-Table1[[#This Row],[Starting year]]</f>
        <v>13</v>
      </c>
      <c r="F93" s="1">
        <v>22057</v>
      </c>
      <c r="G93" s="2" t="s">
        <v>372</v>
      </c>
      <c r="H93" s="2" t="str">
        <f>VLOOKUP(DATE(2023,MONTH(F93),DAY(F93)),Signs!A:C,3)</f>
        <v>Gemini</v>
      </c>
      <c r="I93" s="2">
        <v>16</v>
      </c>
    </row>
    <row r="94" spans="1:9" ht="29.25" customHeight="1" x14ac:dyDescent="0.25">
      <c r="A94" s="2" t="s">
        <v>122</v>
      </c>
      <c r="B94" s="2" t="s">
        <v>123</v>
      </c>
      <c r="C94" s="2">
        <v>1987</v>
      </c>
      <c r="D94" s="2">
        <v>1988</v>
      </c>
      <c r="E94" s="2">
        <f>Table1[[#This Row],[End year]]-Table1[[#This Row],[Starting year]]</f>
        <v>1</v>
      </c>
      <c r="F94" s="1">
        <v>21157</v>
      </c>
      <c r="G94" s="2" t="s">
        <v>372</v>
      </c>
      <c r="H94" s="2" t="str">
        <f>VLOOKUP(DATE(2023,MONTH(F94),DAY(F94)),Signs!A:C,3)</f>
        <v>Sagittarius</v>
      </c>
      <c r="I94" s="2">
        <v>16</v>
      </c>
    </row>
    <row r="95" spans="1:9" ht="29.25" customHeight="1" x14ac:dyDescent="0.25">
      <c r="A95" s="2" t="s">
        <v>124</v>
      </c>
      <c r="B95" s="2" t="s">
        <v>35</v>
      </c>
      <c r="C95" s="2">
        <v>1955</v>
      </c>
      <c r="D95" s="2">
        <v>1960</v>
      </c>
      <c r="E95" s="2">
        <f>Table1[[#This Row],[End year]]-Table1[[#This Row],[Starting year]]</f>
        <v>5</v>
      </c>
      <c r="F95" s="1" t="s">
        <v>200</v>
      </c>
      <c r="G95" s="2" t="s">
        <v>372</v>
      </c>
      <c r="H95" s="4" t="s">
        <v>200</v>
      </c>
      <c r="I95" s="2">
        <v>16</v>
      </c>
    </row>
    <row r="96" spans="1:9" ht="29.25" customHeight="1" x14ac:dyDescent="0.25">
      <c r="A96" s="2" t="s">
        <v>125</v>
      </c>
      <c r="B96" s="2" t="s">
        <v>35</v>
      </c>
      <c r="C96" s="2">
        <v>2005</v>
      </c>
      <c r="D96" s="2">
        <v>2005</v>
      </c>
      <c r="E96" s="2">
        <f>Table1[[#This Row],[End year]]-Table1[[#This Row],[Starting year]]</f>
        <v>0</v>
      </c>
      <c r="F96" s="1" t="s">
        <v>200</v>
      </c>
      <c r="G96" s="2" t="s">
        <v>372</v>
      </c>
      <c r="H96" s="4" t="s">
        <v>200</v>
      </c>
      <c r="I96" s="2">
        <v>16</v>
      </c>
    </row>
    <row r="97" spans="1:9" ht="29.25" customHeight="1" x14ac:dyDescent="0.25">
      <c r="A97" s="2" t="s">
        <v>126</v>
      </c>
      <c r="B97" s="2" t="s">
        <v>35</v>
      </c>
      <c r="C97" s="2">
        <v>2008</v>
      </c>
      <c r="D97" s="2">
        <v>2009</v>
      </c>
      <c r="E97" s="2">
        <f>Table1[[#This Row],[End year]]-Table1[[#This Row],[Starting year]]</f>
        <v>1</v>
      </c>
      <c r="F97" s="1" t="s">
        <v>200</v>
      </c>
      <c r="G97" s="2" t="s">
        <v>372</v>
      </c>
      <c r="H97" s="4" t="s">
        <v>200</v>
      </c>
      <c r="I97" s="2">
        <v>16</v>
      </c>
    </row>
    <row r="98" spans="1:9" ht="29.25" customHeight="1" x14ac:dyDescent="0.25">
      <c r="A98" s="2" t="s">
        <v>127</v>
      </c>
      <c r="B98" s="2" t="s">
        <v>18</v>
      </c>
      <c r="C98" s="2">
        <v>1975</v>
      </c>
      <c r="D98" s="2">
        <v>1998</v>
      </c>
      <c r="E98" s="2">
        <f>Table1[[#This Row],[End year]]-Table1[[#This Row],[Starting year]]</f>
        <v>23</v>
      </c>
      <c r="F98" s="1">
        <v>19141</v>
      </c>
      <c r="G98" s="2" t="s">
        <v>372</v>
      </c>
      <c r="H98" s="2" t="str">
        <f>VLOOKUP(DATE(2023,MONTH(F98),DAY(F98)),Signs!A:C,3)</f>
        <v>Gemini</v>
      </c>
      <c r="I98" s="2">
        <v>16</v>
      </c>
    </row>
    <row r="99" spans="1:9" ht="29.25" customHeight="1" x14ac:dyDescent="0.25">
      <c r="A99" s="2" t="s">
        <v>128</v>
      </c>
      <c r="B99" s="2" t="s">
        <v>18</v>
      </c>
      <c r="C99" s="2">
        <v>1948</v>
      </c>
      <c r="D99" s="2">
        <v>1980</v>
      </c>
      <c r="E99" s="2">
        <f>Table1[[#This Row],[End year]]-Table1[[#This Row],[Starting year]]</f>
        <v>32</v>
      </c>
      <c r="F99" s="1">
        <v>14009</v>
      </c>
      <c r="G99" s="2" t="s">
        <v>372</v>
      </c>
      <c r="H99" s="2" t="str">
        <f>VLOOKUP(DATE(2023,MONTH(F99),DAY(F99)),Signs!A:C,3)</f>
        <v>Taurus</v>
      </c>
      <c r="I99" s="2">
        <v>16</v>
      </c>
    </row>
    <row r="100" spans="1:9" ht="29.25" customHeight="1" x14ac:dyDescent="0.25">
      <c r="A100" s="2" t="s">
        <v>129</v>
      </c>
      <c r="B100" s="2" t="s">
        <v>18</v>
      </c>
      <c r="C100" s="2">
        <v>1969</v>
      </c>
      <c r="D100" s="2">
        <v>1982</v>
      </c>
      <c r="E100" s="2">
        <f>Table1[[#This Row],[End year]]-Table1[[#This Row],[Starting year]]</f>
        <v>13</v>
      </c>
      <c r="F100" s="1">
        <v>10790</v>
      </c>
      <c r="G100" s="2" t="s">
        <v>372</v>
      </c>
      <c r="H100" s="2" t="str">
        <f>VLOOKUP(DATE(2023,MONTH(F100),DAY(F100)),Signs!A:C,3)</f>
        <v>Cancer</v>
      </c>
      <c r="I100" s="2">
        <v>16</v>
      </c>
    </row>
    <row r="101" spans="1:9" ht="29.25" customHeight="1" x14ac:dyDescent="0.25">
      <c r="A101" s="2" t="s">
        <v>130</v>
      </c>
      <c r="B101" s="2" t="s">
        <v>9</v>
      </c>
      <c r="C101" s="2">
        <v>1974</v>
      </c>
      <c r="D101" s="2">
        <v>1987</v>
      </c>
      <c r="E101" s="2">
        <f>Table1[[#This Row],[End year]]-Table1[[#This Row],[Starting year]]</f>
        <v>13</v>
      </c>
      <c r="F101" s="1">
        <v>30137</v>
      </c>
      <c r="G101" s="2" t="s">
        <v>372</v>
      </c>
      <c r="H101" s="2" t="str">
        <f>VLOOKUP(DATE(2023,MONTH(F101),DAY(F101)),Signs!A:C,3)</f>
        <v>Cancer</v>
      </c>
      <c r="I101" s="2">
        <v>16</v>
      </c>
    </row>
    <row r="102" spans="1:9" ht="29.25" customHeight="1" x14ac:dyDescent="0.25">
      <c r="A102" s="2" t="s">
        <v>131</v>
      </c>
      <c r="B102" s="2" t="s">
        <v>9</v>
      </c>
      <c r="C102" s="2">
        <v>2003</v>
      </c>
      <c r="D102" s="2">
        <v>2004</v>
      </c>
      <c r="E102" s="2">
        <f>Table1[[#This Row],[End year]]-Table1[[#This Row],[Starting year]]</f>
        <v>1</v>
      </c>
      <c r="F102" s="1">
        <v>29160</v>
      </c>
      <c r="G102" s="2" t="s">
        <v>372</v>
      </c>
      <c r="H102" s="2" t="str">
        <f>VLOOKUP(DATE(2023,MONTH(F102),DAY(F102)),Signs!A:C,3)</f>
        <v>Scorpio</v>
      </c>
      <c r="I102" s="2">
        <v>16</v>
      </c>
    </row>
    <row r="103" spans="1:9" ht="29.25" customHeight="1" x14ac:dyDescent="0.25">
      <c r="A103" s="2" t="s">
        <v>201</v>
      </c>
      <c r="B103" s="2" t="s">
        <v>18</v>
      </c>
      <c r="C103" s="2">
        <v>1990</v>
      </c>
      <c r="D103" s="2">
        <v>1996</v>
      </c>
      <c r="E103" s="2">
        <f>Table1[[#This Row],[End year]]-Table1[[#This Row],[Starting year]]</f>
        <v>6</v>
      </c>
      <c r="F103" s="1">
        <v>17264</v>
      </c>
      <c r="G103" s="2" t="s">
        <v>372</v>
      </c>
      <c r="H103" s="2" t="str">
        <f>VLOOKUP(DATE(2023,MONTH(F103),DAY(F103)),Signs!A:C,3)</f>
        <v>Aries</v>
      </c>
      <c r="I103" s="2">
        <v>16</v>
      </c>
    </row>
    <row r="104" spans="1:9" ht="29.25" customHeight="1" x14ac:dyDescent="0.25">
      <c r="A104" s="2" t="s">
        <v>376</v>
      </c>
      <c r="B104" s="2" t="s">
        <v>47</v>
      </c>
      <c r="C104" s="2">
        <v>1998</v>
      </c>
      <c r="D104" s="2">
        <v>2006</v>
      </c>
      <c r="E104" s="2">
        <f>Table1[[#This Row],[End year]]-Table1[[#This Row],[Starting year]]</f>
        <v>8</v>
      </c>
      <c r="F104" s="1">
        <v>21181</v>
      </c>
      <c r="G104" s="2" t="s">
        <v>373</v>
      </c>
      <c r="H104" s="2" t="str">
        <f>VLOOKUP(DATE(2023,MONTH(F104),DAY(F104)),Signs!A:C,3)</f>
        <v>Capricorn</v>
      </c>
      <c r="I104" s="2">
        <v>16</v>
      </c>
    </row>
    <row r="105" spans="1:9" ht="29.25" customHeight="1" x14ac:dyDescent="0.25">
      <c r="A105" s="2" t="s">
        <v>132</v>
      </c>
      <c r="B105" s="2" t="s">
        <v>82</v>
      </c>
      <c r="C105" s="2">
        <v>1986</v>
      </c>
      <c r="D105" s="2">
        <v>1994</v>
      </c>
      <c r="E105" s="2">
        <f>Table1[[#This Row],[End year]]-Table1[[#This Row],[Starting year]]</f>
        <v>8</v>
      </c>
      <c r="F105" s="1">
        <v>23042</v>
      </c>
      <c r="G105" s="2" t="s">
        <v>372</v>
      </c>
      <c r="H105" s="2" t="str">
        <f>VLOOKUP(DATE(2023,MONTH(F105),DAY(F105)),Signs!A:C,3)</f>
        <v>Aquarius</v>
      </c>
      <c r="I105" s="2">
        <v>15</v>
      </c>
    </row>
    <row r="106" spans="1:9" ht="29.25" customHeight="1" x14ac:dyDescent="0.25">
      <c r="A106" s="2" t="s">
        <v>133</v>
      </c>
      <c r="B106" s="2" t="s">
        <v>134</v>
      </c>
      <c r="C106" s="2">
        <v>1997</v>
      </c>
      <c r="D106" s="2">
        <v>1999</v>
      </c>
      <c r="E106" s="2">
        <f>Table1[[#This Row],[End year]]-Table1[[#This Row],[Starting year]]</f>
        <v>2</v>
      </c>
      <c r="F106" s="1">
        <v>20954</v>
      </c>
      <c r="G106" s="2" t="s">
        <v>372</v>
      </c>
      <c r="H106" s="2" t="str">
        <f>VLOOKUP(DATE(2023,MONTH(F106),DAY(F106)),Signs!A:C,3)</f>
        <v>Taurus</v>
      </c>
      <c r="I106" s="2">
        <v>15</v>
      </c>
    </row>
    <row r="107" spans="1:9" ht="29.25" customHeight="1" x14ac:dyDescent="0.25">
      <c r="A107" s="2" t="s">
        <v>135</v>
      </c>
      <c r="B107" s="2" t="s">
        <v>14</v>
      </c>
      <c r="C107" s="2">
        <v>2008</v>
      </c>
      <c r="D107" s="2">
        <v>2015</v>
      </c>
      <c r="E107" s="2">
        <f>Table1[[#This Row],[End year]]-Table1[[#This Row],[Starting year]]</f>
        <v>7</v>
      </c>
      <c r="F107" s="1" t="s">
        <v>200</v>
      </c>
      <c r="G107" s="2" t="s">
        <v>372</v>
      </c>
      <c r="H107" s="4" t="s">
        <v>200</v>
      </c>
      <c r="I107" s="2">
        <v>15</v>
      </c>
    </row>
    <row r="108" spans="1:9" ht="29.25" customHeight="1" x14ac:dyDescent="0.25">
      <c r="A108" s="2" t="s">
        <v>136</v>
      </c>
      <c r="B108" s="2" t="s">
        <v>18</v>
      </c>
      <c r="C108" s="2">
        <v>1911</v>
      </c>
      <c r="D108" s="2">
        <v>1911</v>
      </c>
      <c r="E108" s="2">
        <f>Table1[[#This Row],[End year]]-Table1[[#This Row],[Starting year]]</f>
        <v>0</v>
      </c>
      <c r="F108" s="1" t="s">
        <v>200</v>
      </c>
      <c r="G108" s="2" t="s">
        <v>374</v>
      </c>
      <c r="H108" s="4" t="s">
        <v>200</v>
      </c>
      <c r="I108" s="2">
        <v>15</v>
      </c>
    </row>
    <row r="109" spans="1:9" ht="29.25" customHeight="1" x14ac:dyDescent="0.25">
      <c r="A109" s="2" t="s">
        <v>137</v>
      </c>
      <c r="B109" s="2" t="s">
        <v>18</v>
      </c>
      <c r="C109" s="2">
        <v>1980</v>
      </c>
      <c r="D109" s="2">
        <v>1983</v>
      </c>
      <c r="E109" s="2">
        <f>Table1[[#This Row],[End year]]-Table1[[#This Row],[Starting year]]</f>
        <v>3</v>
      </c>
      <c r="F109" s="1">
        <v>14291</v>
      </c>
      <c r="G109" s="2" t="s">
        <v>372</v>
      </c>
      <c r="H109" s="2" t="str">
        <f>VLOOKUP(DATE(2023,MONTH(F109),DAY(F109)),Signs!A:C,3)</f>
        <v>Aquarius</v>
      </c>
      <c r="I109" s="2">
        <v>15</v>
      </c>
    </row>
    <row r="110" spans="1:9" ht="29.25" customHeight="1" x14ac:dyDescent="0.25">
      <c r="A110" s="2" t="s">
        <v>138</v>
      </c>
      <c r="B110" s="3" t="s">
        <v>47</v>
      </c>
      <c r="C110" s="3">
        <v>1986</v>
      </c>
      <c r="D110" s="3">
        <v>1999</v>
      </c>
      <c r="E110" s="2">
        <f>Table1[[#This Row],[End year]]-Table1[[#This Row],[Starting year]]</f>
        <v>13</v>
      </c>
      <c r="F110" s="1">
        <v>21763</v>
      </c>
      <c r="G110" s="2" t="s">
        <v>372</v>
      </c>
      <c r="H110" s="2" t="str">
        <f>VLOOKUP(DATE(2023,MONTH(F110),DAY(F110)),Signs!A:C,3)</f>
        <v>Leo</v>
      </c>
      <c r="I110" s="2">
        <v>15</v>
      </c>
    </row>
    <row r="111" spans="1:9" ht="29.25" customHeight="1" x14ac:dyDescent="0.25">
      <c r="A111" s="2" t="s">
        <v>139</v>
      </c>
      <c r="B111" s="2" t="s">
        <v>18</v>
      </c>
      <c r="C111" s="2">
        <v>1987</v>
      </c>
      <c r="D111" s="2">
        <v>1998</v>
      </c>
      <c r="E111" s="2">
        <f>Table1[[#This Row],[End year]]-Table1[[#This Row],[Starting year]]</f>
        <v>11</v>
      </c>
      <c r="F111" s="1">
        <v>24416</v>
      </c>
      <c r="G111" s="2" t="s">
        <v>372</v>
      </c>
      <c r="H111" s="2" t="str">
        <f>VLOOKUP(DATE(2023,MONTH(F111),DAY(F111)),Signs!A:C,3)</f>
        <v>Scorpio</v>
      </c>
      <c r="I111" s="2">
        <v>15</v>
      </c>
    </row>
    <row r="112" spans="1:9" ht="29.25" customHeight="1" x14ac:dyDescent="0.25">
      <c r="A112" s="2" t="s">
        <v>140</v>
      </c>
      <c r="B112" s="2" t="s">
        <v>35</v>
      </c>
      <c r="C112" s="2">
        <v>1950</v>
      </c>
      <c r="D112" s="2">
        <v>1956</v>
      </c>
      <c r="E112" s="2">
        <f>Table1[[#This Row],[End year]]-Table1[[#This Row],[Starting year]]</f>
        <v>6</v>
      </c>
      <c r="F112" s="1" t="s">
        <v>200</v>
      </c>
      <c r="G112" s="2" t="s">
        <v>372</v>
      </c>
      <c r="H112" s="4" t="s">
        <v>200</v>
      </c>
      <c r="I112" s="2">
        <v>15</v>
      </c>
    </row>
    <row r="113" spans="1:9" ht="29.25" customHeight="1" x14ac:dyDescent="0.25">
      <c r="A113" s="2" t="s">
        <v>141</v>
      </c>
      <c r="B113" s="2" t="s">
        <v>142</v>
      </c>
      <c r="C113" s="2">
        <v>1958</v>
      </c>
      <c r="D113" s="2">
        <v>1968</v>
      </c>
      <c r="E113" s="2">
        <f>Table1[[#This Row],[End year]]-Table1[[#This Row],[Starting year]]</f>
        <v>10</v>
      </c>
      <c r="F113" s="1" t="s">
        <v>200</v>
      </c>
      <c r="G113" s="2" t="s">
        <v>372</v>
      </c>
      <c r="H113" s="4" t="s">
        <v>200</v>
      </c>
      <c r="I113" s="2">
        <v>15</v>
      </c>
    </row>
    <row r="114" spans="1:9" ht="29.25" customHeight="1" x14ac:dyDescent="0.25">
      <c r="A114" s="2" t="s">
        <v>143</v>
      </c>
      <c r="B114" s="2" t="s">
        <v>16</v>
      </c>
      <c r="C114" s="2">
        <v>1983</v>
      </c>
      <c r="D114" s="2">
        <v>1997</v>
      </c>
      <c r="E114" s="2">
        <f>Table1[[#This Row],[End year]]-Table1[[#This Row],[Starting year]]</f>
        <v>14</v>
      </c>
      <c r="F114" s="1">
        <v>21495</v>
      </c>
      <c r="G114" s="2" t="s">
        <v>372</v>
      </c>
      <c r="H114" s="2" t="str">
        <f>VLOOKUP(DATE(2023,MONTH(F114),DAY(F114)),Signs!A:C,3)</f>
        <v>Scorpio</v>
      </c>
      <c r="I114" s="2">
        <v>15</v>
      </c>
    </row>
    <row r="115" spans="1:9" ht="29.25" customHeight="1" x14ac:dyDescent="0.25">
      <c r="A115" s="2" t="s">
        <v>144</v>
      </c>
      <c r="B115" s="2" t="s">
        <v>20</v>
      </c>
      <c r="C115" s="2">
        <v>1978</v>
      </c>
      <c r="D115" s="2">
        <v>2001</v>
      </c>
      <c r="E115" s="2">
        <f>Table1[[#This Row],[End year]]-Table1[[#This Row],[Starting year]]</f>
        <v>23</v>
      </c>
      <c r="F115" s="1">
        <v>21382</v>
      </c>
      <c r="G115" s="2" t="s">
        <v>372</v>
      </c>
      <c r="H115" s="2" t="str">
        <f>VLOOKUP(DATE(2023,MONTH(F115),DAY(F115)),Signs!A:C,3)</f>
        <v>Cancer</v>
      </c>
      <c r="I115" s="2">
        <v>15</v>
      </c>
    </row>
    <row r="116" spans="1:9" ht="29.25" customHeight="1" x14ac:dyDescent="0.25">
      <c r="A116" s="2" t="s">
        <v>145</v>
      </c>
      <c r="B116" s="2" t="s">
        <v>9</v>
      </c>
      <c r="C116" s="2">
        <v>1933</v>
      </c>
      <c r="D116" s="2">
        <v>1935</v>
      </c>
      <c r="E116" s="2">
        <f>Table1[[#This Row],[End year]]-Table1[[#This Row],[Starting year]]</f>
        <v>2</v>
      </c>
      <c r="F116" s="1" t="s">
        <v>200</v>
      </c>
      <c r="G116" s="2" t="s">
        <v>372</v>
      </c>
      <c r="H116" s="4" t="s">
        <v>200</v>
      </c>
      <c r="I116" s="2">
        <v>15</v>
      </c>
    </row>
    <row r="117" spans="1:9" ht="29.25" customHeight="1" x14ac:dyDescent="0.25">
      <c r="A117" s="2" t="s">
        <v>270</v>
      </c>
      <c r="B117" s="2" t="s">
        <v>18</v>
      </c>
      <c r="C117" s="2">
        <v>1977</v>
      </c>
      <c r="D117" s="2">
        <v>1980</v>
      </c>
      <c r="E117" s="2">
        <f>Table1[[#This Row],[End year]]-Table1[[#This Row],[Starting year]]</f>
        <v>3</v>
      </c>
      <c r="F117" s="1">
        <v>18366</v>
      </c>
      <c r="G117" s="2" t="s">
        <v>372</v>
      </c>
      <c r="H117" s="2" t="str">
        <f>VLOOKUP(DATE(2023,MONTH(F117),DAY(F117)),Signs!A:C,3)</f>
        <v>Aries</v>
      </c>
      <c r="I117" s="2">
        <v>15</v>
      </c>
    </row>
    <row r="118" spans="1:9" ht="29.25" customHeight="1" x14ac:dyDescent="0.25">
      <c r="A118" s="2" t="s">
        <v>146</v>
      </c>
      <c r="B118" s="2" t="s">
        <v>18</v>
      </c>
      <c r="C118" s="2">
        <v>1974</v>
      </c>
      <c r="D118" s="2">
        <v>1982</v>
      </c>
      <c r="E118" s="2">
        <f>Table1[[#This Row],[End year]]-Table1[[#This Row],[Starting year]]</f>
        <v>8</v>
      </c>
      <c r="F118" s="1">
        <v>19670</v>
      </c>
      <c r="G118" s="2" t="s">
        <v>372</v>
      </c>
      <c r="H118" s="2" t="str">
        <f>VLOOKUP(DATE(2023,MONTH(F118),DAY(F118)),Signs!A:C,3)</f>
        <v>Scorpio</v>
      </c>
      <c r="I118" s="2">
        <v>14</v>
      </c>
    </row>
    <row r="119" spans="1:9" ht="29.25" customHeight="1" x14ac:dyDescent="0.25">
      <c r="A119" s="2" t="s">
        <v>147</v>
      </c>
      <c r="B119" s="2" t="s">
        <v>9</v>
      </c>
      <c r="C119" s="2">
        <v>1945</v>
      </c>
      <c r="D119" s="2">
        <v>1946</v>
      </c>
      <c r="E119" s="2">
        <f>Table1[[#This Row],[End year]]-Table1[[#This Row],[Starting year]]</f>
        <v>1</v>
      </c>
      <c r="F119" s="1" t="s">
        <v>200</v>
      </c>
      <c r="G119" s="2" t="s">
        <v>372</v>
      </c>
      <c r="H119" s="4" t="s">
        <v>200</v>
      </c>
      <c r="I119" s="2">
        <v>14</v>
      </c>
    </row>
    <row r="120" spans="1:9" ht="29.25" customHeight="1" x14ac:dyDescent="0.25">
      <c r="A120" s="2" t="s">
        <v>337</v>
      </c>
      <c r="B120" s="2" t="s">
        <v>148</v>
      </c>
      <c r="C120" s="2">
        <v>1964</v>
      </c>
      <c r="D120" s="2">
        <v>1970</v>
      </c>
      <c r="E120" s="2">
        <f>Table1[[#This Row],[End year]]-Table1[[#This Row],[Starting year]]</f>
        <v>6</v>
      </c>
      <c r="F120" s="1">
        <v>10153</v>
      </c>
      <c r="G120" s="2" t="s">
        <v>372</v>
      </c>
      <c r="H120" s="2" t="str">
        <f>VLOOKUP(DATE(2023,MONTH(F120),DAY(F120)),Signs!A:C,3)</f>
        <v>Libra</v>
      </c>
      <c r="I120" s="2">
        <v>14</v>
      </c>
    </row>
    <row r="121" spans="1:9" ht="29.25" customHeight="1" x14ac:dyDescent="0.25">
      <c r="A121" s="2" t="s">
        <v>149</v>
      </c>
      <c r="B121" s="2" t="s">
        <v>20</v>
      </c>
      <c r="C121" s="2">
        <v>1968</v>
      </c>
      <c r="D121" s="2">
        <v>1985</v>
      </c>
      <c r="E121" s="2">
        <f>Table1[[#This Row],[End year]]-Table1[[#This Row],[Starting year]]</f>
        <v>17</v>
      </c>
      <c r="F121" s="1" t="s">
        <v>200</v>
      </c>
      <c r="G121" s="2" t="s">
        <v>374</v>
      </c>
      <c r="H121" s="4" t="s">
        <v>200</v>
      </c>
      <c r="I121" s="2">
        <v>14</v>
      </c>
    </row>
    <row r="122" spans="1:9" ht="29.25" customHeight="1" x14ac:dyDescent="0.25">
      <c r="A122" s="2" t="s">
        <v>150</v>
      </c>
      <c r="B122" s="2" t="s">
        <v>148</v>
      </c>
      <c r="C122" s="2">
        <v>1955</v>
      </c>
      <c r="D122" s="2">
        <v>1976</v>
      </c>
      <c r="E122" s="2">
        <f>Table1[[#This Row],[End year]]-Table1[[#This Row],[Starting year]]</f>
        <v>21</v>
      </c>
      <c r="F122" s="1">
        <v>12161</v>
      </c>
      <c r="G122" s="2" t="s">
        <v>372</v>
      </c>
      <c r="H122" s="2" t="str">
        <f>VLOOKUP(DATE(2023,MONTH(F122),DAY(F122)),Signs!A:C,3)</f>
        <v>Aries</v>
      </c>
      <c r="I122" s="2">
        <v>14</v>
      </c>
    </row>
    <row r="123" spans="1:9" ht="29.25" customHeight="1" x14ac:dyDescent="0.25">
      <c r="A123" s="2" t="s">
        <v>151</v>
      </c>
      <c r="B123" s="2" t="s">
        <v>18</v>
      </c>
      <c r="C123" s="2">
        <v>1972</v>
      </c>
      <c r="D123" s="2">
        <v>1989</v>
      </c>
      <c r="E123" s="2">
        <f>Table1[[#This Row],[End year]]-Table1[[#This Row],[Starting year]]</f>
        <v>17</v>
      </c>
      <c r="F123" s="1">
        <v>16594</v>
      </c>
      <c r="G123" s="2" t="s">
        <v>372</v>
      </c>
      <c r="H123" s="2" t="str">
        <f>VLOOKUP(DATE(2023,MONTH(F123),DAY(F123)),Signs!A:C,3)</f>
        <v>Gemini</v>
      </c>
      <c r="I123" s="2">
        <v>14</v>
      </c>
    </row>
    <row r="124" spans="1:9" ht="29.25" customHeight="1" x14ac:dyDescent="0.25">
      <c r="A124" s="2" t="s">
        <v>152</v>
      </c>
      <c r="B124" s="2" t="s">
        <v>18</v>
      </c>
      <c r="C124" s="2">
        <v>1974</v>
      </c>
      <c r="D124" s="2">
        <v>1975</v>
      </c>
      <c r="E124" s="2">
        <f>Table1[[#This Row],[End year]]-Table1[[#This Row],[Starting year]]</f>
        <v>1</v>
      </c>
      <c r="F124" s="1" t="s">
        <v>200</v>
      </c>
      <c r="G124" s="2" t="s">
        <v>374</v>
      </c>
      <c r="H124" s="4" t="s">
        <v>200</v>
      </c>
      <c r="I124" s="2">
        <v>14</v>
      </c>
    </row>
    <row r="125" spans="1:9" ht="29.25" customHeight="1" x14ac:dyDescent="0.25">
      <c r="A125" s="2" t="s">
        <v>153</v>
      </c>
      <c r="B125" s="2" t="s">
        <v>12</v>
      </c>
      <c r="C125" s="2">
        <v>1991</v>
      </c>
      <c r="D125" s="2">
        <v>1991</v>
      </c>
      <c r="E125" s="2">
        <f>Table1[[#This Row],[End year]]-Table1[[#This Row],[Starting year]]</f>
        <v>0</v>
      </c>
      <c r="F125" s="1">
        <v>24474</v>
      </c>
      <c r="G125" s="2" t="s">
        <v>372</v>
      </c>
      <c r="H125" s="2" t="str">
        <f>VLOOKUP(DATE(2023,MONTH(F125),DAY(F125)),Signs!A:C,3)</f>
        <v>Capricorn</v>
      </c>
      <c r="I125" s="2">
        <v>14</v>
      </c>
    </row>
    <row r="126" spans="1:9" ht="29.25" customHeight="1" x14ac:dyDescent="0.25">
      <c r="A126" s="2" t="s">
        <v>154</v>
      </c>
      <c r="B126" s="2" t="s">
        <v>155</v>
      </c>
      <c r="C126" s="2">
        <v>1998</v>
      </c>
      <c r="D126" s="2">
        <v>2001</v>
      </c>
      <c r="E126" s="2">
        <f>Table1[[#This Row],[End year]]-Table1[[#This Row],[Starting year]]</f>
        <v>3</v>
      </c>
      <c r="F126" s="1">
        <v>23207</v>
      </c>
      <c r="G126" s="2" t="s">
        <v>372</v>
      </c>
      <c r="H126" s="2" t="str">
        <f>VLOOKUP(DATE(2023,MONTH(F126),DAY(F126)),Signs!A:C,3)</f>
        <v>Cancer</v>
      </c>
      <c r="I126" s="2">
        <v>14</v>
      </c>
    </row>
    <row r="127" spans="1:9" ht="29.25" customHeight="1" x14ac:dyDescent="0.25">
      <c r="A127" s="2" t="s">
        <v>156</v>
      </c>
      <c r="B127" s="2" t="s">
        <v>9</v>
      </c>
      <c r="C127" s="2">
        <v>1995</v>
      </c>
      <c r="D127" s="2">
        <v>1999</v>
      </c>
      <c r="E127" s="2">
        <f>Table1[[#This Row],[End year]]-Table1[[#This Row],[Starting year]]</f>
        <v>4</v>
      </c>
      <c r="F127" s="1">
        <v>21687</v>
      </c>
      <c r="G127" s="2" t="s">
        <v>372</v>
      </c>
      <c r="H127" s="2" t="str">
        <f>VLOOKUP(DATE(2023,MONTH(F127),DAY(F127)),Signs!A:C,3)</f>
        <v>Taurus</v>
      </c>
      <c r="I127" s="2">
        <v>14</v>
      </c>
    </row>
    <row r="128" spans="1:9" ht="29.25" customHeight="1" x14ac:dyDescent="0.25">
      <c r="A128" s="2" t="s">
        <v>157</v>
      </c>
      <c r="B128" s="2" t="s">
        <v>9</v>
      </c>
      <c r="C128" s="2">
        <v>2002</v>
      </c>
      <c r="D128" s="2">
        <v>2004</v>
      </c>
      <c r="E128" s="2">
        <f>Table1[[#This Row],[End year]]-Table1[[#This Row],[Starting year]]</f>
        <v>2</v>
      </c>
      <c r="F128" s="1">
        <v>26761</v>
      </c>
      <c r="G128" s="2" t="s">
        <v>372</v>
      </c>
      <c r="H128" s="2" t="str">
        <f>VLOOKUP(DATE(2023,MONTH(F128),DAY(F128)),Signs!A:C,3)</f>
        <v>Aries</v>
      </c>
      <c r="I128" s="2">
        <v>14</v>
      </c>
    </row>
    <row r="129" spans="1:9" ht="29.25" customHeight="1" x14ac:dyDescent="0.25">
      <c r="A129" s="2" t="s">
        <v>158</v>
      </c>
      <c r="B129" s="2" t="s">
        <v>82</v>
      </c>
      <c r="C129" s="2">
        <v>2004</v>
      </c>
      <c r="D129" s="2">
        <v>2006</v>
      </c>
      <c r="E129" s="2">
        <f>Table1[[#This Row],[End year]]-Table1[[#This Row],[Starting year]]</f>
        <v>2</v>
      </c>
      <c r="F129" s="1">
        <v>25263</v>
      </c>
      <c r="G129" s="2" t="s">
        <v>372</v>
      </c>
      <c r="H129" s="2" t="str">
        <f>VLOOKUP(DATE(2023,MONTH(F129),DAY(F129)),Signs!A:C,3)</f>
        <v>Pisces</v>
      </c>
      <c r="I129" s="2">
        <v>14</v>
      </c>
    </row>
    <row r="130" spans="1:9" ht="29.25" customHeight="1" x14ac:dyDescent="0.25">
      <c r="A130" s="2" t="s">
        <v>159</v>
      </c>
      <c r="B130" s="2" t="s">
        <v>7</v>
      </c>
      <c r="C130" s="2">
        <v>2005</v>
      </c>
      <c r="D130" s="2">
        <v>2005</v>
      </c>
      <c r="E130" s="2">
        <f>Table1[[#This Row],[End year]]-Table1[[#This Row],[Starting year]]</f>
        <v>0</v>
      </c>
      <c r="F130" s="1" t="s">
        <v>200</v>
      </c>
      <c r="G130" s="2" t="s">
        <v>372</v>
      </c>
      <c r="H130" s="4" t="s">
        <v>200</v>
      </c>
      <c r="I130" s="2">
        <v>14</v>
      </c>
    </row>
    <row r="131" spans="1:9" ht="29.25" customHeight="1" x14ac:dyDescent="0.25">
      <c r="A131" s="2" t="s">
        <v>160</v>
      </c>
      <c r="B131" s="2" t="s">
        <v>18</v>
      </c>
      <c r="C131" s="2">
        <v>1930</v>
      </c>
      <c r="D131" s="2">
        <v>1947</v>
      </c>
      <c r="E131" s="2">
        <f>Table1[[#This Row],[End year]]-Table1[[#This Row],[Starting year]]</f>
        <v>17</v>
      </c>
      <c r="F131" s="1">
        <v>714</v>
      </c>
      <c r="G131" s="2" t="s">
        <v>372</v>
      </c>
      <c r="H131" s="2" t="str">
        <f>VLOOKUP(DATE(2023,MONTH(F131),DAY(F131)),Signs!A:C,3)</f>
        <v>Sagittarius</v>
      </c>
      <c r="I131" s="2">
        <v>13</v>
      </c>
    </row>
    <row r="132" spans="1:9" ht="29.25" customHeight="1" x14ac:dyDescent="0.25">
      <c r="A132" s="2" t="s">
        <v>161</v>
      </c>
      <c r="B132" s="2" t="s">
        <v>18</v>
      </c>
      <c r="C132" s="2">
        <v>1896</v>
      </c>
      <c r="D132" s="2">
        <v>1908</v>
      </c>
      <c r="E132" s="2">
        <f>Table1[[#This Row],[End year]]-Table1[[#This Row],[Starting year]]</f>
        <v>12</v>
      </c>
      <c r="F132" s="1">
        <v>45241</v>
      </c>
      <c r="G132" s="2" t="s">
        <v>373</v>
      </c>
      <c r="H132" s="2" t="str">
        <f>VLOOKUP(DATE(2023,MONTH(F132),DAY(F132)),Signs!A:C,3)</f>
        <v>Scorpio</v>
      </c>
      <c r="I132" s="2">
        <v>13</v>
      </c>
    </row>
    <row r="133" spans="1:9" ht="29.25" customHeight="1" x14ac:dyDescent="0.25">
      <c r="A133" s="2" t="s">
        <v>162</v>
      </c>
      <c r="B133" s="2" t="s">
        <v>18</v>
      </c>
      <c r="C133" s="2">
        <v>1934</v>
      </c>
      <c r="D133" s="2">
        <v>1938</v>
      </c>
      <c r="E133" s="2">
        <f>Table1[[#This Row],[End year]]-Table1[[#This Row],[Starting year]]</f>
        <v>4</v>
      </c>
      <c r="F133" s="1" t="s">
        <v>200</v>
      </c>
      <c r="G133" s="2" t="s">
        <v>374</v>
      </c>
      <c r="H133" s="4" t="s">
        <v>200</v>
      </c>
      <c r="I133" s="2">
        <v>13</v>
      </c>
    </row>
    <row r="134" spans="1:9" ht="29.25" customHeight="1" x14ac:dyDescent="0.25">
      <c r="A134" s="2" t="s">
        <v>163</v>
      </c>
      <c r="B134" s="2" t="s">
        <v>97</v>
      </c>
      <c r="C134" s="2">
        <v>2003</v>
      </c>
      <c r="D134" s="2">
        <v>2003</v>
      </c>
      <c r="E134" s="2">
        <f>Table1[[#This Row],[End year]]-Table1[[#This Row],[Starting year]]</f>
        <v>0</v>
      </c>
      <c r="F134" s="1" t="s">
        <v>200</v>
      </c>
      <c r="G134" s="2" t="s">
        <v>372</v>
      </c>
      <c r="H134" s="4" t="s">
        <v>200</v>
      </c>
      <c r="I134" s="2">
        <v>13</v>
      </c>
    </row>
    <row r="135" spans="1:9" ht="29.25" customHeight="1" x14ac:dyDescent="0.25">
      <c r="A135" s="2" t="s">
        <v>164</v>
      </c>
      <c r="B135" s="2" t="s">
        <v>18</v>
      </c>
      <c r="C135" s="2">
        <v>1984</v>
      </c>
      <c r="D135" s="2">
        <v>1985</v>
      </c>
      <c r="E135" s="2">
        <f>Table1[[#This Row],[End year]]-Table1[[#This Row],[Starting year]]</f>
        <v>1</v>
      </c>
      <c r="F135" s="1">
        <v>21975</v>
      </c>
      <c r="G135" s="2" t="s">
        <v>372</v>
      </c>
      <c r="H135" s="2" t="str">
        <f>VLOOKUP(DATE(2023,MONTH(F135),DAY(F135)),Signs!A:C,3)</f>
        <v>Pisces</v>
      </c>
      <c r="I135" s="2">
        <v>13</v>
      </c>
    </row>
    <row r="136" spans="1:9" ht="29.25" customHeight="1" x14ac:dyDescent="0.25">
      <c r="A136" s="2" t="s">
        <v>165</v>
      </c>
      <c r="B136" s="2" t="s">
        <v>35</v>
      </c>
      <c r="C136" s="2">
        <v>1990</v>
      </c>
      <c r="D136" s="2">
        <v>2007</v>
      </c>
      <c r="E136" s="2">
        <f>Table1[[#This Row],[End year]]-Table1[[#This Row],[Starting year]]</f>
        <v>17</v>
      </c>
      <c r="F136" s="1" t="s">
        <v>200</v>
      </c>
      <c r="G136" s="2" t="s">
        <v>374</v>
      </c>
      <c r="H136" s="4" t="s">
        <v>200</v>
      </c>
      <c r="I136" s="2">
        <v>13</v>
      </c>
    </row>
    <row r="137" spans="1:9" ht="29.25" customHeight="1" x14ac:dyDescent="0.25">
      <c r="A137" s="2" t="s">
        <v>166</v>
      </c>
      <c r="B137" s="2" t="s">
        <v>63</v>
      </c>
      <c r="C137" s="2">
        <v>1975</v>
      </c>
      <c r="D137" s="2">
        <v>1980</v>
      </c>
      <c r="E137" s="2">
        <f>Table1[[#This Row],[End year]]-Table1[[#This Row],[Starting year]]</f>
        <v>5</v>
      </c>
      <c r="F137" s="1">
        <v>16955</v>
      </c>
      <c r="G137" s="2" t="s">
        <v>372</v>
      </c>
      <c r="H137" s="2" t="str">
        <f>VLOOKUP(DATE(2023,MONTH(F137),DAY(F137)),Signs!A:C,3)</f>
        <v>Gemini</v>
      </c>
      <c r="I137" s="2">
        <v>13</v>
      </c>
    </row>
    <row r="138" spans="1:9" ht="29.25" customHeight="1" x14ac:dyDescent="0.25">
      <c r="A138" s="2" t="s">
        <v>167</v>
      </c>
      <c r="B138" s="2" t="s">
        <v>142</v>
      </c>
      <c r="C138" s="2">
        <v>1974</v>
      </c>
      <c r="D138" s="2">
        <v>1975</v>
      </c>
      <c r="E138" s="2">
        <f>Table1[[#This Row],[End year]]-Table1[[#This Row],[Starting year]]</f>
        <v>1</v>
      </c>
      <c r="F138" s="1" t="s">
        <v>200</v>
      </c>
      <c r="G138" s="2" t="s">
        <v>372</v>
      </c>
      <c r="H138" s="4" t="s">
        <v>200</v>
      </c>
      <c r="I138" s="2">
        <v>13</v>
      </c>
    </row>
    <row r="139" spans="1:9" ht="29.25" customHeight="1" x14ac:dyDescent="0.25">
      <c r="A139" s="2" t="s">
        <v>168</v>
      </c>
      <c r="B139" s="2" t="s">
        <v>9</v>
      </c>
      <c r="C139" s="2">
        <v>1995</v>
      </c>
      <c r="D139" s="2">
        <v>2015</v>
      </c>
      <c r="E139" s="2">
        <f>Table1[[#This Row],[End year]]-Table1[[#This Row],[Starting year]]</f>
        <v>20</v>
      </c>
      <c r="F139" s="1">
        <v>17282</v>
      </c>
      <c r="G139" s="2" t="s">
        <v>373</v>
      </c>
      <c r="H139" s="2" t="str">
        <f>VLOOKUP(DATE(2023,MONTH(F139),DAY(F139)),Signs!A:C,3)</f>
        <v>Taurus</v>
      </c>
      <c r="I139" s="2">
        <v>13</v>
      </c>
    </row>
    <row r="140" spans="1:9" ht="29.25" customHeight="1" x14ac:dyDescent="0.25">
      <c r="A140" s="2" t="s">
        <v>169</v>
      </c>
      <c r="B140" s="2" t="s">
        <v>18</v>
      </c>
      <c r="C140" s="2">
        <v>1972</v>
      </c>
      <c r="D140" s="2">
        <v>1973</v>
      </c>
      <c r="E140" s="2">
        <f>Table1[[#This Row],[End year]]-Table1[[#This Row],[Starting year]]</f>
        <v>1</v>
      </c>
      <c r="F140" s="1">
        <v>17275</v>
      </c>
      <c r="G140" s="2" t="s">
        <v>372</v>
      </c>
      <c r="H140" s="2" t="str">
        <f>VLOOKUP(DATE(2023,MONTH(F140),DAY(F140)),Signs!A:C,3)</f>
        <v>Aries</v>
      </c>
      <c r="I140" s="2">
        <v>13</v>
      </c>
    </row>
    <row r="141" spans="1:9" ht="29.25" customHeight="1" x14ac:dyDescent="0.25">
      <c r="A141" s="2" t="s">
        <v>170</v>
      </c>
      <c r="B141" s="2" t="s">
        <v>18</v>
      </c>
      <c r="C141" s="2">
        <v>1962</v>
      </c>
      <c r="D141" s="2">
        <v>1964</v>
      </c>
      <c r="E141" s="2">
        <f>Table1[[#This Row],[End year]]-Table1[[#This Row],[Starting year]]</f>
        <v>2</v>
      </c>
      <c r="F141" s="1">
        <v>11569</v>
      </c>
      <c r="G141" s="2" t="s">
        <v>372</v>
      </c>
      <c r="H141" s="2" t="str">
        <f>VLOOKUP(DATE(2023,MONTH(F141),DAY(F141)),Signs!A:C,3)</f>
        <v>Virgo</v>
      </c>
      <c r="I141" s="2">
        <v>13</v>
      </c>
    </row>
    <row r="142" spans="1:9" ht="29.25" customHeight="1" x14ac:dyDescent="0.25">
      <c r="A142" s="2" t="s">
        <v>171</v>
      </c>
      <c r="B142" s="2" t="s">
        <v>18</v>
      </c>
      <c r="C142" s="2">
        <v>1977</v>
      </c>
      <c r="D142" s="2">
        <v>1993</v>
      </c>
      <c r="E142" s="2">
        <f>Table1[[#This Row],[End year]]-Table1[[#This Row],[Starting year]]</f>
        <v>16</v>
      </c>
      <c r="F142" s="1">
        <v>18407</v>
      </c>
      <c r="G142" s="2" t="s">
        <v>372</v>
      </c>
      <c r="H142" s="2" t="str">
        <f>VLOOKUP(DATE(2023,MONTH(F142),DAY(F142)),Signs!A:C,3)</f>
        <v>Gemini</v>
      </c>
      <c r="I142" s="2">
        <v>13</v>
      </c>
    </row>
    <row r="143" spans="1:9" ht="29.25" customHeight="1" x14ac:dyDescent="0.25">
      <c r="A143" s="2" t="s">
        <v>172</v>
      </c>
      <c r="B143" s="2" t="s">
        <v>18</v>
      </c>
      <c r="C143" s="2">
        <v>1979</v>
      </c>
      <c r="D143" s="2">
        <v>1986</v>
      </c>
      <c r="E143" s="2">
        <f>Table1[[#This Row],[End year]]-Table1[[#This Row],[Starting year]]</f>
        <v>7</v>
      </c>
      <c r="F143" s="1">
        <v>16749</v>
      </c>
      <c r="G143" s="2" t="s">
        <v>372</v>
      </c>
      <c r="H143" s="2" t="str">
        <f>VLOOKUP(DATE(2023,MONTH(F143),DAY(F143)),Signs!A:C,3)</f>
        <v>Scorpio</v>
      </c>
      <c r="I143" s="2">
        <v>13</v>
      </c>
    </row>
    <row r="144" spans="1:9" ht="29.25" customHeight="1" x14ac:dyDescent="0.25">
      <c r="A144" s="2" t="s">
        <v>173</v>
      </c>
      <c r="B144" s="2" t="s">
        <v>9</v>
      </c>
      <c r="C144" s="2">
        <v>1978</v>
      </c>
      <c r="D144" s="2">
        <v>1981</v>
      </c>
      <c r="E144" s="2">
        <f>Table1[[#This Row],[End year]]-Table1[[#This Row],[Starting year]]</f>
        <v>3</v>
      </c>
      <c r="F144" s="1">
        <v>19460</v>
      </c>
      <c r="G144" s="2" t="s">
        <v>372</v>
      </c>
      <c r="H144" s="2" t="str">
        <f>VLOOKUP(DATE(2023,MONTH(F144),DAY(F144)),Signs!A:C,3)</f>
        <v>Aries</v>
      </c>
      <c r="I144" s="2">
        <v>13</v>
      </c>
    </row>
    <row r="145" spans="1:9" ht="29.25" customHeight="1" x14ac:dyDescent="0.25">
      <c r="A145" s="2" t="s">
        <v>174</v>
      </c>
      <c r="B145" s="2" t="s">
        <v>9</v>
      </c>
      <c r="C145" s="2">
        <v>1984</v>
      </c>
      <c r="D145" s="2">
        <v>1986</v>
      </c>
      <c r="E145" s="2">
        <f>Table1[[#This Row],[End year]]-Table1[[#This Row],[Starting year]]</f>
        <v>2</v>
      </c>
      <c r="F145" s="1">
        <v>20471</v>
      </c>
      <c r="G145" s="2" t="s">
        <v>372</v>
      </c>
      <c r="H145" s="2" t="str">
        <f>VLOOKUP(DATE(2023,MONTH(F145),DAY(F145)),Signs!A:C,3)</f>
        <v>Capricorn</v>
      </c>
      <c r="I145" s="2">
        <v>13</v>
      </c>
    </row>
    <row r="146" spans="1:9" ht="29.25" customHeight="1" x14ac:dyDescent="0.25">
      <c r="A146" s="2" t="s">
        <v>175</v>
      </c>
      <c r="B146" s="3" t="s">
        <v>9</v>
      </c>
      <c r="C146" s="3">
        <v>1987</v>
      </c>
      <c r="D146" s="3">
        <v>2002</v>
      </c>
      <c r="E146" s="2">
        <f>Table1[[#This Row],[End year]]-Table1[[#This Row],[Starting year]]</f>
        <v>15</v>
      </c>
      <c r="F146" s="1">
        <v>27020</v>
      </c>
      <c r="G146" s="2" t="s">
        <v>372</v>
      </c>
      <c r="H146" s="2" t="str">
        <f>VLOOKUP(DATE(2023,MONTH(F146),DAY(F146)),Signs!A:C,3)</f>
        <v>Capricorn</v>
      </c>
      <c r="I146" s="2">
        <v>13</v>
      </c>
    </row>
    <row r="147" spans="1:9" ht="29.25" customHeight="1" x14ac:dyDescent="0.25">
      <c r="A147" s="2" t="s">
        <v>176</v>
      </c>
      <c r="B147" s="2" t="s">
        <v>9</v>
      </c>
      <c r="C147" s="2">
        <v>2002</v>
      </c>
      <c r="D147" s="2">
        <v>2003</v>
      </c>
      <c r="E147" s="2">
        <f>Table1[[#This Row],[End year]]-Table1[[#This Row],[Starting year]]</f>
        <v>1</v>
      </c>
      <c r="F147" s="1">
        <v>30418</v>
      </c>
      <c r="G147" s="2" t="s">
        <v>372</v>
      </c>
      <c r="H147" s="2" t="str">
        <f>VLOOKUP(DATE(2023,MONTH(F147),DAY(F147)),Signs!A:C,3)</f>
        <v>Aries</v>
      </c>
      <c r="I147" s="2">
        <v>13</v>
      </c>
    </row>
    <row r="148" spans="1:9" ht="29.25" customHeight="1" x14ac:dyDescent="0.25">
      <c r="A148" s="2" t="s">
        <v>177</v>
      </c>
      <c r="B148" s="2" t="s">
        <v>9</v>
      </c>
      <c r="C148" s="2">
        <v>2004</v>
      </c>
      <c r="D148" s="2">
        <v>2006</v>
      </c>
      <c r="E148" s="2">
        <f>Table1[[#This Row],[End year]]-Table1[[#This Row],[Starting year]]</f>
        <v>2</v>
      </c>
      <c r="F148" s="1" t="s">
        <v>200</v>
      </c>
      <c r="G148" s="2" t="s">
        <v>372</v>
      </c>
      <c r="H148" s="4" t="s">
        <v>200</v>
      </c>
      <c r="I148" s="2">
        <v>13</v>
      </c>
    </row>
    <row r="149" spans="1:9" ht="29.25" customHeight="1" x14ac:dyDescent="0.25">
      <c r="A149" s="2" t="s">
        <v>178</v>
      </c>
      <c r="B149" s="2" t="s">
        <v>35</v>
      </c>
      <c r="C149" s="2">
        <v>1982</v>
      </c>
      <c r="D149" s="2">
        <v>1989</v>
      </c>
      <c r="E149" s="2">
        <f>Table1[[#This Row],[End year]]-Table1[[#This Row],[Starting year]]</f>
        <v>7</v>
      </c>
      <c r="F149" s="1" t="s">
        <v>200</v>
      </c>
      <c r="G149" s="2" t="s">
        <v>372</v>
      </c>
      <c r="H149" s="4" t="s">
        <v>200</v>
      </c>
      <c r="I149" s="2">
        <v>13</v>
      </c>
    </row>
    <row r="150" spans="1:9" ht="29.25" customHeight="1" x14ac:dyDescent="0.25">
      <c r="A150" s="2" t="s">
        <v>179</v>
      </c>
      <c r="B150" s="2" t="s">
        <v>35</v>
      </c>
      <c r="C150" s="2">
        <v>1990</v>
      </c>
      <c r="D150" s="2">
        <v>2006</v>
      </c>
      <c r="E150" s="2">
        <f>Table1[[#This Row],[End year]]-Table1[[#This Row],[Starting year]]</f>
        <v>16</v>
      </c>
      <c r="F150" s="1" t="s">
        <v>200</v>
      </c>
      <c r="G150" s="2" t="s">
        <v>372</v>
      </c>
      <c r="H150" s="4" t="s">
        <v>200</v>
      </c>
      <c r="I150" s="2">
        <v>13</v>
      </c>
    </row>
    <row r="151" spans="1:9" ht="29.25" customHeight="1" x14ac:dyDescent="0.25">
      <c r="A151" s="2" t="s">
        <v>180</v>
      </c>
      <c r="B151" s="2" t="s">
        <v>35</v>
      </c>
      <c r="C151" s="2">
        <v>2007</v>
      </c>
      <c r="D151" s="2">
        <v>2007</v>
      </c>
      <c r="E151" s="2">
        <f>Table1[[#This Row],[End year]]-Table1[[#This Row],[Starting year]]</f>
        <v>0</v>
      </c>
      <c r="F151" s="1" t="s">
        <v>200</v>
      </c>
      <c r="G151" s="2" t="s">
        <v>372</v>
      </c>
      <c r="H151" s="4" t="s">
        <v>200</v>
      </c>
      <c r="I151" s="2">
        <v>13</v>
      </c>
    </row>
    <row r="152" spans="1:9" ht="29.25" customHeight="1" x14ac:dyDescent="0.25">
      <c r="A152" s="2" t="s">
        <v>181</v>
      </c>
      <c r="B152" s="2" t="s">
        <v>12</v>
      </c>
      <c r="C152" s="2">
        <v>2007</v>
      </c>
      <c r="D152" s="2">
        <v>2008</v>
      </c>
      <c r="E152" s="2">
        <f>Table1[[#This Row],[End year]]-Table1[[#This Row],[Starting year]]</f>
        <v>1</v>
      </c>
      <c r="F152" s="1" t="s">
        <v>200</v>
      </c>
      <c r="G152" s="2" t="s">
        <v>374</v>
      </c>
      <c r="H152" s="4" t="s">
        <v>200</v>
      </c>
      <c r="I152" s="2">
        <v>13</v>
      </c>
    </row>
    <row r="153" spans="1:9" ht="29.25" customHeight="1" x14ac:dyDescent="0.25">
      <c r="A153" s="2" t="s">
        <v>182</v>
      </c>
      <c r="B153" s="2" t="s">
        <v>183</v>
      </c>
      <c r="C153" s="2">
        <v>1980</v>
      </c>
      <c r="D153" s="2">
        <v>1988</v>
      </c>
      <c r="E153" s="2">
        <f>Table1[[#This Row],[End year]]-Table1[[#This Row],[Starting year]]</f>
        <v>8</v>
      </c>
      <c r="F153" s="1" t="s">
        <v>200</v>
      </c>
      <c r="G153" s="2" t="s">
        <v>372</v>
      </c>
      <c r="H153" s="4" t="s">
        <v>200</v>
      </c>
      <c r="I153" s="2">
        <v>13</v>
      </c>
    </row>
    <row r="154" spans="1:9" ht="29.25" customHeight="1" x14ac:dyDescent="0.25">
      <c r="A154" s="2" t="s">
        <v>251</v>
      </c>
      <c r="B154" s="3" t="s">
        <v>52</v>
      </c>
      <c r="C154" s="3">
        <v>1974</v>
      </c>
      <c r="D154" s="3">
        <v>2006</v>
      </c>
      <c r="E154" s="2">
        <f>Table1[[#This Row],[End year]]-Table1[[#This Row],[Starting year]]</f>
        <v>32</v>
      </c>
      <c r="F154" s="1">
        <v>21732</v>
      </c>
      <c r="G154" s="2" t="s">
        <v>372</v>
      </c>
      <c r="H154" s="2" t="str">
        <f>VLOOKUP(DATE(2023,MONTH(F154),DAY(F154)),Signs!A:C,3)</f>
        <v>Cancer</v>
      </c>
      <c r="I154" s="2">
        <v>13</v>
      </c>
    </row>
    <row r="155" spans="1:9" ht="29.25" customHeight="1" x14ac:dyDescent="0.25">
      <c r="A155" s="2" t="s">
        <v>184</v>
      </c>
      <c r="B155" s="2" t="s">
        <v>52</v>
      </c>
      <c r="C155" s="2">
        <v>1908</v>
      </c>
      <c r="D155" s="2">
        <v>1935</v>
      </c>
      <c r="E155" s="2">
        <f>Table1[[#This Row],[End year]]-Table1[[#This Row],[Starting year]]</f>
        <v>27</v>
      </c>
      <c r="F155" s="1">
        <v>44991</v>
      </c>
      <c r="G155" s="2" t="s">
        <v>372</v>
      </c>
      <c r="H155" s="2" t="str">
        <f>VLOOKUP(DATE(2023,MONTH(F155),DAY(F155)),Signs!A:C,3)</f>
        <v>Pisces</v>
      </c>
      <c r="I155" s="2">
        <v>12</v>
      </c>
    </row>
    <row r="156" spans="1:9" ht="29.25" customHeight="1" x14ac:dyDescent="0.25">
      <c r="A156" s="2" t="s">
        <v>185</v>
      </c>
      <c r="B156" s="2" t="s">
        <v>18</v>
      </c>
      <c r="C156" s="2">
        <v>1953</v>
      </c>
      <c r="D156" s="2">
        <v>1982</v>
      </c>
      <c r="E156" s="2">
        <f>Table1[[#This Row],[End year]]-Table1[[#This Row],[Starting year]]</f>
        <v>29</v>
      </c>
      <c r="F156" s="1">
        <v>12126</v>
      </c>
      <c r="G156" s="2" t="s">
        <v>372</v>
      </c>
      <c r="H156" s="2" t="str">
        <f>VLOOKUP(DATE(2023,MONTH(F156),DAY(F156)),Signs!A:C,3)</f>
        <v>Pisces</v>
      </c>
      <c r="I156" s="2">
        <v>12</v>
      </c>
    </row>
    <row r="157" spans="1:9" ht="29.25" customHeight="1" x14ac:dyDescent="0.25">
      <c r="A157" s="2" t="s">
        <v>186</v>
      </c>
      <c r="B157" s="2" t="s">
        <v>18</v>
      </c>
      <c r="C157" s="2">
        <v>1986</v>
      </c>
      <c r="D157" s="2">
        <v>1992</v>
      </c>
      <c r="E157" s="2">
        <f>Table1[[#This Row],[End year]]-Table1[[#This Row],[Starting year]]</f>
        <v>6</v>
      </c>
      <c r="F157" s="1">
        <v>18495</v>
      </c>
      <c r="G157" s="2" t="s">
        <v>372</v>
      </c>
      <c r="H157" s="2" t="str">
        <f>VLOOKUP(DATE(2023,MONTH(F157),DAY(F157)),Signs!A:C,3)</f>
        <v>Leo</v>
      </c>
      <c r="I157" s="2">
        <v>12</v>
      </c>
    </row>
    <row r="158" spans="1:9" ht="29.25" customHeight="1" x14ac:dyDescent="0.25">
      <c r="A158" s="2" t="s">
        <v>187</v>
      </c>
      <c r="B158" s="3" t="s">
        <v>9</v>
      </c>
      <c r="C158" s="3">
        <v>1991</v>
      </c>
      <c r="D158" s="3">
        <v>2005</v>
      </c>
      <c r="E158" s="2">
        <f>Table1[[#This Row],[End year]]-Table1[[#This Row],[Starting year]]</f>
        <v>14</v>
      </c>
      <c r="F158" s="1">
        <v>18602</v>
      </c>
      <c r="G158" s="2" t="s">
        <v>372</v>
      </c>
      <c r="H158" s="2" t="str">
        <f>VLOOKUP(DATE(2023,MONTH(F158),DAY(F158)),Signs!A:C,3)</f>
        <v>Sagittarius</v>
      </c>
      <c r="I158" s="2">
        <v>12</v>
      </c>
    </row>
    <row r="159" spans="1:9" ht="29.25" customHeight="1" x14ac:dyDescent="0.25">
      <c r="A159" s="2" t="s">
        <v>188</v>
      </c>
      <c r="B159" s="2" t="s">
        <v>18</v>
      </c>
      <c r="C159" s="2">
        <v>2000</v>
      </c>
      <c r="D159" s="2">
        <v>2002</v>
      </c>
      <c r="E159" s="2">
        <f>Table1[[#This Row],[End year]]-Table1[[#This Row],[Starting year]]</f>
        <v>2</v>
      </c>
      <c r="F159" s="1">
        <v>24040</v>
      </c>
      <c r="G159" s="2" t="s">
        <v>372</v>
      </c>
      <c r="H159" s="2" t="str">
        <f>VLOOKUP(DATE(2023,MONTH(F159),DAY(F159)),Signs!A:C,3)</f>
        <v>Scorpio</v>
      </c>
      <c r="I159" s="2">
        <v>12</v>
      </c>
    </row>
    <row r="160" spans="1:9" ht="29.25" customHeight="1" x14ac:dyDescent="0.25">
      <c r="A160" s="2" t="s">
        <v>189</v>
      </c>
      <c r="B160" s="2" t="s">
        <v>63</v>
      </c>
      <c r="C160" s="2">
        <v>1978</v>
      </c>
      <c r="D160" s="2">
        <v>1983</v>
      </c>
      <c r="E160" s="2">
        <f>Table1[[#This Row],[End year]]-Table1[[#This Row],[Starting year]]</f>
        <v>5</v>
      </c>
      <c r="F160" s="1">
        <v>16764</v>
      </c>
      <c r="G160" s="2" t="s">
        <v>372</v>
      </c>
      <c r="H160" s="2" t="str">
        <f>VLOOKUP(DATE(2023,MONTH(F160),DAY(F160)),Signs!A:C,3)</f>
        <v>Sagittarius</v>
      </c>
      <c r="I160" s="2">
        <v>12</v>
      </c>
    </row>
    <row r="161" spans="1:9" ht="29.25" customHeight="1" x14ac:dyDescent="0.25">
      <c r="A161" s="2" t="s">
        <v>190</v>
      </c>
      <c r="B161" s="2" t="s">
        <v>18</v>
      </c>
      <c r="C161" s="2">
        <v>1977</v>
      </c>
      <c r="D161" s="2">
        <v>1978</v>
      </c>
      <c r="E161" s="2">
        <f>Table1[[#This Row],[End year]]-Table1[[#This Row],[Starting year]]</f>
        <v>1</v>
      </c>
      <c r="F161" s="1">
        <v>18770</v>
      </c>
      <c r="G161" s="2" t="s">
        <v>372</v>
      </c>
      <c r="H161" s="2" t="str">
        <f>VLOOKUP(DATE(2023,MONTH(F161),DAY(F161)),Signs!A:C,3)</f>
        <v>Gemini</v>
      </c>
      <c r="I161" s="2">
        <v>12</v>
      </c>
    </row>
    <row r="162" spans="1:9" ht="29.25" customHeight="1" x14ac:dyDescent="0.25">
      <c r="A162" s="2" t="s">
        <v>191</v>
      </c>
      <c r="B162" s="3" t="s">
        <v>385</v>
      </c>
      <c r="C162" s="3">
        <v>1975</v>
      </c>
      <c r="D162" s="3">
        <v>1976</v>
      </c>
      <c r="E162" s="2">
        <f>Table1[[#This Row],[End year]]-Table1[[#This Row],[Starting year]]</f>
        <v>1</v>
      </c>
      <c r="F162" s="1">
        <v>16168</v>
      </c>
      <c r="G162" s="2" t="s">
        <v>372</v>
      </c>
      <c r="H162" s="2" t="str">
        <f>VLOOKUP(DATE(2023,MONTH(F162),DAY(F162)),Signs!A:C,3)</f>
        <v>Aries</v>
      </c>
      <c r="I162" s="2">
        <v>12</v>
      </c>
    </row>
    <row r="163" spans="1:9" ht="29.25" customHeight="1" x14ac:dyDescent="0.25">
      <c r="A163" s="2" t="s">
        <v>192</v>
      </c>
      <c r="B163" s="2" t="s">
        <v>193</v>
      </c>
      <c r="C163" s="2">
        <v>1990</v>
      </c>
      <c r="D163" s="2">
        <v>1998</v>
      </c>
      <c r="E163" s="2">
        <f>Table1[[#This Row],[End year]]-Table1[[#This Row],[Starting year]]</f>
        <v>8</v>
      </c>
      <c r="F163" s="1" t="s">
        <v>200</v>
      </c>
      <c r="G163" s="2" t="s">
        <v>372</v>
      </c>
      <c r="H163" s="4" t="s">
        <v>200</v>
      </c>
      <c r="I163" s="2">
        <v>12</v>
      </c>
    </row>
    <row r="164" spans="1:9" ht="29.25" customHeight="1" x14ac:dyDescent="0.25">
      <c r="A164" s="2" t="s">
        <v>194</v>
      </c>
      <c r="B164" s="2" t="s">
        <v>9</v>
      </c>
      <c r="C164" s="2">
        <v>1975</v>
      </c>
      <c r="D164" s="2">
        <v>1975</v>
      </c>
      <c r="E164" s="2">
        <f>Table1[[#This Row],[End year]]-Table1[[#This Row],[Starting year]]</f>
        <v>0</v>
      </c>
      <c r="F164" s="1" t="s">
        <v>200</v>
      </c>
      <c r="G164" s="2" t="s">
        <v>372</v>
      </c>
      <c r="H164" s="4" t="s">
        <v>200</v>
      </c>
      <c r="I164" s="2">
        <v>12</v>
      </c>
    </row>
    <row r="165" spans="1:9" ht="29.25" customHeight="1" x14ac:dyDescent="0.25">
      <c r="A165" s="2" t="s">
        <v>195</v>
      </c>
      <c r="B165" s="2" t="s">
        <v>9</v>
      </c>
      <c r="C165" s="2">
        <v>1998</v>
      </c>
      <c r="D165" s="2">
        <v>2003</v>
      </c>
      <c r="E165" s="2">
        <f>Table1[[#This Row],[End year]]-Table1[[#This Row],[Starting year]]</f>
        <v>5</v>
      </c>
      <c r="F165" s="1">
        <v>23121</v>
      </c>
      <c r="G165" s="2" t="s">
        <v>372</v>
      </c>
      <c r="H165" s="2" t="str">
        <f>VLOOKUP(DATE(2023,MONTH(F165),DAY(F165)),Signs!A:C,3)</f>
        <v>Taurus</v>
      </c>
      <c r="I165" s="2">
        <v>12</v>
      </c>
    </row>
    <row r="166" spans="1:9" ht="29.25" customHeight="1" x14ac:dyDescent="0.25">
      <c r="A166" s="2" t="s">
        <v>196</v>
      </c>
      <c r="B166" s="2" t="s">
        <v>18</v>
      </c>
      <c r="C166" s="2">
        <v>1980</v>
      </c>
      <c r="D166" s="2">
        <v>1981</v>
      </c>
      <c r="E166" s="2">
        <f>Table1[[#This Row],[End year]]-Table1[[#This Row],[Starting year]]</f>
        <v>1</v>
      </c>
      <c r="F166" s="1">
        <v>20296</v>
      </c>
      <c r="G166" s="2" t="s">
        <v>372</v>
      </c>
      <c r="H166" s="2" t="str">
        <f>VLOOKUP(DATE(2023,MONTH(F166),DAY(F166)),Signs!A:C,3)</f>
        <v>Leo</v>
      </c>
      <c r="I166" s="2">
        <v>12</v>
      </c>
    </row>
    <row r="167" spans="1:9" ht="29.25" customHeight="1" x14ac:dyDescent="0.25">
      <c r="A167" s="2" t="s">
        <v>197</v>
      </c>
      <c r="B167" s="2" t="s">
        <v>198</v>
      </c>
      <c r="C167" s="2">
        <v>1985</v>
      </c>
      <c r="D167" s="2">
        <v>1985</v>
      </c>
      <c r="E167" s="2">
        <f>Table1[[#This Row],[End year]]-Table1[[#This Row],[Starting year]]</f>
        <v>0</v>
      </c>
      <c r="F167" s="1" t="s">
        <v>200</v>
      </c>
      <c r="G167" s="2" t="s">
        <v>374</v>
      </c>
      <c r="H167" s="4" t="s">
        <v>200</v>
      </c>
      <c r="I167" s="2">
        <v>12</v>
      </c>
    </row>
    <row r="168" spans="1:9" ht="29.25" customHeight="1" x14ac:dyDescent="0.25">
      <c r="A168" s="2" t="s">
        <v>199</v>
      </c>
      <c r="B168" s="2" t="s">
        <v>123</v>
      </c>
      <c r="C168" s="2">
        <v>1900</v>
      </c>
      <c r="D168" s="2">
        <v>1912</v>
      </c>
      <c r="E168" s="2">
        <f>Table1[[#This Row],[End year]]-Table1[[#This Row],[Starting year]]</f>
        <v>12</v>
      </c>
      <c r="F168" s="1">
        <v>44959</v>
      </c>
      <c r="G168" s="2" t="s">
        <v>373</v>
      </c>
      <c r="H168" s="2" t="str">
        <f>VLOOKUP(DATE(2023,MONTH(F168),DAY(F168)),Signs!A:C,3)</f>
        <v>Aquarius</v>
      </c>
      <c r="I168" s="2">
        <v>12</v>
      </c>
    </row>
    <row r="169" spans="1:9" ht="29.25" customHeight="1" x14ac:dyDescent="0.25">
      <c r="A169" s="2" t="s">
        <v>202</v>
      </c>
      <c r="B169" s="2" t="s">
        <v>203</v>
      </c>
      <c r="C169" s="2">
        <v>1992</v>
      </c>
      <c r="D169" s="2">
        <v>1999</v>
      </c>
      <c r="E169" s="2">
        <f>Table1[[#This Row],[End year]]-Table1[[#This Row],[Starting year]]</f>
        <v>7</v>
      </c>
      <c r="F169" s="1">
        <v>24354</v>
      </c>
      <c r="G169" s="2" t="s">
        <v>372</v>
      </c>
      <c r="H169" s="2" t="str">
        <f>VLOOKUP(DATE(2023,MONTH(F169),DAY(F169)),Signs!A:C,3)</f>
        <v>Virgo</v>
      </c>
      <c r="I169" s="2">
        <v>11</v>
      </c>
    </row>
    <row r="170" spans="1:9" ht="29.25" customHeight="1" x14ac:dyDescent="0.25">
      <c r="A170" s="2" t="s">
        <v>204</v>
      </c>
      <c r="B170" s="3" t="s">
        <v>9</v>
      </c>
      <c r="C170" s="3">
        <v>1986</v>
      </c>
      <c r="D170" s="3">
        <v>1992</v>
      </c>
      <c r="E170" s="2">
        <f>Table1[[#This Row],[End year]]-Table1[[#This Row],[Starting year]]</f>
        <v>6</v>
      </c>
      <c r="F170" s="1">
        <v>21880</v>
      </c>
      <c r="G170" s="2" t="s">
        <v>372</v>
      </c>
      <c r="H170" s="2" t="str">
        <f>VLOOKUP(DATE(2023,MONTH(F170),DAY(F170)),Signs!A:C,3)</f>
        <v>Sagittarius</v>
      </c>
      <c r="I170" s="2">
        <v>11</v>
      </c>
    </row>
    <row r="171" spans="1:9" ht="29.25" customHeight="1" x14ac:dyDescent="0.25">
      <c r="A171" s="2" t="s">
        <v>205</v>
      </c>
      <c r="B171" s="2" t="s">
        <v>47</v>
      </c>
      <c r="C171" s="2">
        <v>1998</v>
      </c>
      <c r="D171" s="2">
        <v>2006</v>
      </c>
      <c r="E171" s="2">
        <f>Table1[[#This Row],[End year]]-Table1[[#This Row],[Starting year]]</f>
        <v>8</v>
      </c>
      <c r="F171" s="1">
        <v>21181</v>
      </c>
      <c r="G171" s="2" t="s">
        <v>373</v>
      </c>
      <c r="H171" s="2" t="str">
        <f>VLOOKUP(DATE(2023,MONTH(F171),DAY(F171)),Signs!A:C,3)</f>
        <v>Capricorn</v>
      </c>
      <c r="I171" s="2">
        <v>11</v>
      </c>
    </row>
    <row r="172" spans="1:9" ht="29.25" customHeight="1" x14ac:dyDescent="0.25">
      <c r="A172" s="2" t="s">
        <v>206</v>
      </c>
      <c r="B172" s="2" t="s">
        <v>16</v>
      </c>
      <c r="C172" s="2">
        <v>2008</v>
      </c>
      <c r="D172" s="2">
        <v>2012</v>
      </c>
      <c r="E172" s="2">
        <f>Table1[[#This Row],[End year]]-Table1[[#This Row],[Starting year]]</f>
        <v>4</v>
      </c>
      <c r="F172" s="1" t="s">
        <v>200</v>
      </c>
      <c r="G172" s="2" t="s">
        <v>372</v>
      </c>
      <c r="H172" s="4" t="s">
        <v>200</v>
      </c>
      <c r="I172" s="2">
        <v>11</v>
      </c>
    </row>
    <row r="173" spans="1:9" ht="29.25" customHeight="1" x14ac:dyDescent="0.25">
      <c r="A173" s="2" t="s">
        <v>207</v>
      </c>
      <c r="B173" s="3" t="s">
        <v>343</v>
      </c>
      <c r="C173" s="3">
        <v>1974</v>
      </c>
      <c r="D173" s="3">
        <v>1992</v>
      </c>
      <c r="E173" s="2">
        <f>Table1[[#This Row],[End year]]-Table1[[#This Row],[Starting year]]</f>
        <v>18</v>
      </c>
      <c r="F173" s="1">
        <v>18491</v>
      </c>
      <c r="G173" s="2" t="s">
        <v>372</v>
      </c>
      <c r="H173" s="2" t="str">
        <f>VLOOKUP(DATE(2023,MONTH(F173),DAY(F173)),Signs!A:C,3)</f>
        <v>Leo</v>
      </c>
      <c r="I173" s="2">
        <v>11</v>
      </c>
    </row>
    <row r="174" spans="1:9" ht="29.25" customHeight="1" x14ac:dyDescent="0.25">
      <c r="A174" s="2" t="s">
        <v>208</v>
      </c>
      <c r="B174" s="2" t="s">
        <v>18</v>
      </c>
      <c r="C174" s="2">
        <v>1964</v>
      </c>
      <c r="D174" s="2">
        <v>1975</v>
      </c>
      <c r="E174" s="2">
        <f>Table1[[#This Row],[End year]]-Table1[[#This Row],[Starting year]]</f>
        <v>11</v>
      </c>
      <c r="F174" s="1">
        <v>16090</v>
      </c>
      <c r="G174" s="2" t="s">
        <v>372</v>
      </c>
      <c r="H174" s="2" t="str">
        <f>VLOOKUP(DATE(2023,MONTH(F174),DAY(F174)),Signs!A:C,3)</f>
        <v>Capricorn</v>
      </c>
      <c r="I174" s="2">
        <v>11</v>
      </c>
    </row>
    <row r="175" spans="1:9" ht="29.25" customHeight="1" x14ac:dyDescent="0.25">
      <c r="A175" s="2" t="s">
        <v>209</v>
      </c>
      <c r="B175" s="2" t="s">
        <v>18</v>
      </c>
      <c r="C175" s="2">
        <v>1991</v>
      </c>
      <c r="D175" s="2">
        <v>1992</v>
      </c>
      <c r="E175" s="2">
        <f>Table1[[#This Row],[End year]]-Table1[[#This Row],[Starting year]]</f>
        <v>1</v>
      </c>
      <c r="F175" s="1">
        <v>25076</v>
      </c>
      <c r="G175" s="2" t="s">
        <v>372</v>
      </c>
      <c r="H175" s="2" t="str">
        <f>VLOOKUP(DATE(2023,MONTH(F175),DAY(F175)),Signs!A:C,3)</f>
        <v>Virgo</v>
      </c>
      <c r="I175" s="2">
        <v>11</v>
      </c>
    </row>
    <row r="176" spans="1:9" ht="29.25" customHeight="1" x14ac:dyDescent="0.25">
      <c r="A176" s="2" t="s">
        <v>210</v>
      </c>
      <c r="B176" s="2" t="s">
        <v>18</v>
      </c>
      <c r="C176" s="2">
        <v>1927</v>
      </c>
      <c r="D176" s="2">
        <v>1954</v>
      </c>
      <c r="E176" s="2">
        <f>Table1[[#This Row],[End year]]-Table1[[#This Row],[Starting year]]</f>
        <v>27</v>
      </c>
      <c r="F176" s="1">
        <v>2135</v>
      </c>
      <c r="G176" s="2" t="s">
        <v>373</v>
      </c>
      <c r="H176" s="2" t="str">
        <f>VLOOKUP(DATE(2023,MONTH(F176),DAY(F176)),Signs!A:C,3)</f>
        <v>Scorpio</v>
      </c>
      <c r="I176" s="2">
        <v>11</v>
      </c>
    </row>
    <row r="177" spans="1:9" ht="29.25" customHeight="1" x14ac:dyDescent="0.25">
      <c r="A177" s="2" t="s">
        <v>211</v>
      </c>
      <c r="B177" s="2" t="s">
        <v>26</v>
      </c>
      <c r="C177" s="2">
        <v>1980</v>
      </c>
      <c r="D177" s="2">
        <v>1981</v>
      </c>
      <c r="E177" s="2">
        <f>Table1[[#This Row],[End year]]-Table1[[#This Row],[Starting year]]</f>
        <v>1</v>
      </c>
      <c r="F177" s="1">
        <v>14611</v>
      </c>
      <c r="G177" s="2" t="s">
        <v>372</v>
      </c>
      <c r="H177" s="2" t="str">
        <f>VLOOKUP(DATE(2023,MONTH(F177),DAY(F177)),Signs!A:C,3)</f>
        <v>Capricorn</v>
      </c>
      <c r="I177" s="2">
        <v>11</v>
      </c>
    </row>
    <row r="178" spans="1:9" ht="29.25" customHeight="1" x14ac:dyDescent="0.25">
      <c r="A178" s="2" t="s">
        <v>212</v>
      </c>
      <c r="B178" s="2" t="s">
        <v>103</v>
      </c>
      <c r="C178" s="2">
        <v>1915</v>
      </c>
      <c r="D178" s="2">
        <v>1919</v>
      </c>
      <c r="E178" s="2">
        <f>Table1[[#This Row],[End year]]-Table1[[#This Row],[Starting year]]</f>
        <v>4</v>
      </c>
      <c r="F178" s="1">
        <v>45028</v>
      </c>
      <c r="G178" s="2" t="s">
        <v>372</v>
      </c>
      <c r="H178" s="2" t="str">
        <f>VLOOKUP(DATE(2023,MONTH(F178),DAY(F178)),Signs!A:C,3)</f>
        <v>Aries</v>
      </c>
      <c r="I178" s="2">
        <v>11</v>
      </c>
    </row>
    <row r="179" spans="1:9" ht="29.25" customHeight="1" x14ac:dyDescent="0.25">
      <c r="A179" s="2" t="s">
        <v>213</v>
      </c>
      <c r="B179" s="2" t="s">
        <v>18</v>
      </c>
      <c r="C179" s="2">
        <v>2003</v>
      </c>
      <c r="D179" s="2">
        <v>2005</v>
      </c>
      <c r="E179" s="2">
        <f>Table1[[#This Row],[End year]]-Table1[[#This Row],[Starting year]]</f>
        <v>2</v>
      </c>
      <c r="F179" s="1" t="s">
        <v>200</v>
      </c>
      <c r="G179" s="2" t="s">
        <v>374</v>
      </c>
      <c r="H179" s="4" t="s">
        <v>200</v>
      </c>
      <c r="I179" s="2">
        <v>11</v>
      </c>
    </row>
    <row r="180" spans="1:9" ht="29.25" customHeight="1" x14ac:dyDescent="0.25">
      <c r="A180" s="2" t="s">
        <v>214</v>
      </c>
      <c r="B180" s="2" t="s">
        <v>18</v>
      </c>
      <c r="C180" s="2">
        <v>2007</v>
      </c>
      <c r="D180" s="2">
        <v>2009</v>
      </c>
      <c r="E180" s="2">
        <f>Table1[[#This Row],[End year]]-Table1[[#This Row],[Starting year]]</f>
        <v>2</v>
      </c>
      <c r="F180" s="1">
        <v>21781</v>
      </c>
      <c r="G180" s="2" t="s">
        <v>372</v>
      </c>
      <c r="H180" s="2" t="str">
        <f>VLOOKUP(DATE(2023,MONTH(F180),DAY(F180)),Signs!A:C,3)</f>
        <v>Leo</v>
      </c>
      <c r="I180" s="2">
        <v>11</v>
      </c>
    </row>
    <row r="181" spans="1:9" ht="29.25" customHeight="1" x14ac:dyDescent="0.25">
      <c r="A181" s="2" t="s">
        <v>215</v>
      </c>
      <c r="B181" s="2" t="s">
        <v>18</v>
      </c>
      <c r="C181" s="2">
        <v>1993</v>
      </c>
      <c r="D181" s="2">
        <v>1999</v>
      </c>
      <c r="E181" s="2">
        <f>Table1[[#This Row],[End year]]-Table1[[#This Row],[Starting year]]</f>
        <v>6</v>
      </c>
      <c r="F181" s="1">
        <v>22725</v>
      </c>
      <c r="G181" s="2" t="s">
        <v>372</v>
      </c>
      <c r="H181" s="2" t="str">
        <f>VLOOKUP(DATE(2023,MONTH(F181),DAY(F181)),Signs!A:C,3)</f>
        <v>Pisces</v>
      </c>
      <c r="I181" s="2">
        <v>11</v>
      </c>
    </row>
    <row r="182" spans="1:9" ht="29.25" customHeight="1" x14ac:dyDescent="0.25">
      <c r="A182" s="2" t="s">
        <v>216</v>
      </c>
      <c r="B182" s="2" t="s">
        <v>123</v>
      </c>
      <c r="C182" s="2">
        <v>1987</v>
      </c>
      <c r="D182" s="2">
        <v>1994</v>
      </c>
      <c r="E182" s="2">
        <f>Table1[[#This Row],[End year]]-Table1[[#This Row],[Starting year]]</f>
        <v>7</v>
      </c>
      <c r="F182" s="1">
        <v>19868</v>
      </c>
      <c r="G182" s="2" t="s">
        <v>372</v>
      </c>
      <c r="H182" s="2" t="str">
        <f>VLOOKUP(DATE(2023,MONTH(F182),DAY(F182)),Signs!A:C,3)</f>
        <v>Gemini</v>
      </c>
      <c r="I182" s="2">
        <v>11</v>
      </c>
    </row>
    <row r="183" spans="1:9" ht="29.25" customHeight="1" x14ac:dyDescent="0.25">
      <c r="A183" s="2" t="s">
        <v>217</v>
      </c>
      <c r="B183" s="2" t="s">
        <v>142</v>
      </c>
      <c r="C183" s="2">
        <v>1971</v>
      </c>
      <c r="D183" s="2">
        <v>1971</v>
      </c>
      <c r="E183" s="2">
        <f>Table1[[#This Row],[End year]]-Table1[[#This Row],[Starting year]]</f>
        <v>0</v>
      </c>
      <c r="F183" s="1">
        <v>19012</v>
      </c>
      <c r="G183" s="2" t="s">
        <v>372</v>
      </c>
      <c r="H183" s="2" t="str">
        <f>VLOOKUP(DATE(2023,MONTH(F183),DAY(F183)),Signs!A:C,3)</f>
        <v>Capricorn</v>
      </c>
      <c r="I183" s="2">
        <v>11</v>
      </c>
    </row>
    <row r="184" spans="1:9" ht="29.25" customHeight="1" x14ac:dyDescent="0.25">
      <c r="A184" s="2" t="s">
        <v>218</v>
      </c>
      <c r="B184" s="2" t="s">
        <v>100</v>
      </c>
      <c r="C184" s="2">
        <v>1992</v>
      </c>
      <c r="D184" s="2">
        <v>1995</v>
      </c>
      <c r="E184" s="2">
        <f>Table1[[#This Row],[End year]]-Table1[[#This Row],[Starting year]]</f>
        <v>3</v>
      </c>
      <c r="F184" s="1">
        <v>19242</v>
      </c>
      <c r="G184" s="2" t="s">
        <v>372</v>
      </c>
      <c r="H184" s="2" t="str">
        <f>VLOOKUP(DATE(2023,MONTH(F184),DAY(F184)),Signs!A:C,3)</f>
        <v>Virgo</v>
      </c>
      <c r="I184" s="2">
        <v>11</v>
      </c>
    </row>
    <row r="185" spans="1:9" ht="29.25" customHeight="1" x14ac:dyDescent="0.25">
      <c r="A185" s="2" t="s">
        <v>219</v>
      </c>
      <c r="B185" s="2" t="s">
        <v>198</v>
      </c>
      <c r="C185" s="2">
        <v>1938</v>
      </c>
      <c r="D185" s="2">
        <v>1942</v>
      </c>
      <c r="E185" s="2">
        <f>Table1[[#This Row],[End year]]-Table1[[#This Row],[Starting year]]</f>
        <v>4</v>
      </c>
      <c r="F185" s="1" t="s">
        <v>200</v>
      </c>
      <c r="G185" s="2" t="s">
        <v>372</v>
      </c>
      <c r="H185" s="4" t="s">
        <v>200</v>
      </c>
      <c r="I185" s="2">
        <v>11</v>
      </c>
    </row>
    <row r="186" spans="1:9" ht="29.25" customHeight="1" x14ac:dyDescent="0.25">
      <c r="A186" s="2" t="s">
        <v>220</v>
      </c>
      <c r="B186" s="2" t="s">
        <v>31</v>
      </c>
      <c r="C186" s="2">
        <v>2006</v>
      </c>
      <c r="D186" s="2">
        <v>2008</v>
      </c>
      <c r="E186" s="2">
        <f>Table1[[#This Row],[End year]]-Table1[[#This Row],[Starting year]]</f>
        <v>2</v>
      </c>
      <c r="F186" s="1">
        <v>28522</v>
      </c>
      <c r="G186" s="2" t="s">
        <v>372</v>
      </c>
      <c r="H186" s="2" t="str">
        <f>VLOOKUP(DATE(2023,MONTH(F186),DAY(F186)),Signs!A:C,3)</f>
        <v>Aquarius</v>
      </c>
      <c r="I186" s="2">
        <v>11</v>
      </c>
    </row>
    <row r="187" spans="1:9" ht="29.25" customHeight="1" x14ac:dyDescent="0.25">
      <c r="A187" s="2" t="s">
        <v>221</v>
      </c>
      <c r="B187" s="2" t="s">
        <v>12</v>
      </c>
      <c r="C187" s="2">
        <v>1997</v>
      </c>
      <c r="D187" s="2">
        <v>1998</v>
      </c>
      <c r="E187" s="2">
        <f>Table1[[#This Row],[End year]]-Table1[[#This Row],[Starting year]]</f>
        <v>1</v>
      </c>
      <c r="F187" s="1">
        <v>24805</v>
      </c>
      <c r="G187" s="2" t="s">
        <v>372</v>
      </c>
      <c r="H187" s="2" t="str">
        <f>VLOOKUP(DATE(2023,MONTH(F187),DAY(F187)),Signs!A:C,3)</f>
        <v>Sagittarius</v>
      </c>
      <c r="I187" s="2">
        <v>11</v>
      </c>
    </row>
    <row r="188" spans="1:9" ht="29.25" customHeight="1" x14ac:dyDescent="0.25">
      <c r="A188" s="2" t="s">
        <v>222</v>
      </c>
      <c r="B188" s="2" t="s">
        <v>223</v>
      </c>
      <c r="C188" s="2">
        <v>2008</v>
      </c>
      <c r="D188" s="2">
        <v>2008</v>
      </c>
      <c r="E188" s="2">
        <f>Table1[[#This Row],[End year]]-Table1[[#This Row],[Starting year]]</f>
        <v>0</v>
      </c>
      <c r="F188" s="1" t="s">
        <v>200</v>
      </c>
      <c r="G188" s="2" t="s">
        <v>372</v>
      </c>
      <c r="H188" s="4" t="s">
        <v>200</v>
      </c>
      <c r="I188" s="2">
        <v>11</v>
      </c>
    </row>
    <row r="189" spans="1:9" ht="29.25" customHeight="1" x14ac:dyDescent="0.25">
      <c r="A189" s="2" t="s">
        <v>224</v>
      </c>
      <c r="B189" s="2" t="s">
        <v>16</v>
      </c>
      <c r="C189" s="2">
        <v>1998</v>
      </c>
      <c r="D189" s="2">
        <v>2002</v>
      </c>
      <c r="E189" s="2">
        <f>Table1[[#This Row],[End year]]-Table1[[#This Row],[Starting year]]</f>
        <v>4</v>
      </c>
      <c r="F189" s="1">
        <v>23691</v>
      </c>
      <c r="G189" s="2" t="s">
        <v>372</v>
      </c>
      <c r="H189" s="2" t="str">
        <f>VLOOKUP(DATE(2023,MONTH(F189),DAY(F189)),Signs!A:C,3)</f>
        <v>Scorpio</v>
      </c>
      <c r="I189" s="2">
        <v>11</v>
      </c>
    </row>
    <row r="190" spans="1:9" ht="29.25" customHeight="1" x14ac:dyDescent="0.25">
      <c r="A190" s="2" t="s">
        <v>225</v>
      </c>
      <c r="B190" s="2" t="s">
        <v>226</v>
      </c>
      <c r="C190" s="2">
        <v>1933</v>
      </c>
      <c r="D190" s="2">
        <v>1936</v>
      </c>
      <c r="E190" s="2">
        <f>Table1[[#This Row],[End year]]-Table1[[#This Row],[Starting year]]</f>
        <v>3</v>
      </c>
      <c r="F190" s="1">
        <v>45121</v>
      </c>
      <c r="G190" s="2" t="s">
        <v>372</v>
      </c>
      <c r="H190" s="2" t="str">
        <f>VLOOKUP(DATE(2023,MONTH(F190),DAY(F190)),Signs!A:C,3)</f>
        <v>Cancer</v>
      </c>
      <c r="I190" s="2">
        <v>11</v>
      </c>
    </row>
    <row r="191" spans="1:9" ht="29.25" customHeight="1" x14ac:dyDescent="0.25">
      <c r="A191" s="2" t="s">
        <v>227</v>
      </c>
      <c r="B191" s="2" t="s">
        <v>113</v>
      </c>
      <c r="C191" s="2">
        <v>2000</v>
      </c>
      <c r="D191" s="2">
        <v>2003</v>
      </c>
      <c r="E191" s="2">
        <f>Table1[[#This Row],[End year]]-Table1[[#This Row],[Starting year]]</f>
        <v>3</v>
      </c>
      <c r="F191" s="1" t="s">
        <v>200</v>
      </c>
      <c r="G191" s="2" t="s">
        <v>372</v>
      </c>
      <c r="H191" s="4" t="s">
        <v>200</v>
      </c>
      <c r="I191" s="2">
        <v>11</v>
      </c>
    </row>
    <row r="192" spans="1:9" ht="29.25" customHeight="1" x14ac:dyDescent="0.25">
      <c r="A192" s="2" t="s">
        <v>228</v>
      </c>
      <c r="B192" s="2" t="s">
        <v>9</v>
      </c>
      <c r="C192" s="2">
        <v>1998</v>
      </c>
      <c r="D192" s="2">
        <v>2003</v>
      </c>
      <c r="E192" s="2">
        <f>Table1[[#This Row],[End year]]-Table1[[#This Row],[Starting year]]</f>
        <v>5</v>
      </c>
      <c r="F192" s="1">
        <v>1078</v>
      </c>
      <c r="G192" s="2" t="s">
        <v>372</v>
      </c>
      <c r="H192" s="2" t="str">
        <f>VLOOKUP(DATE(2023,MONTH(F192),DAY(F192)),Signs!A:C,3)</f>
        <v>Sagittarius</v>
      </c>
      <c r="I192" s="2">
        <v>11</v>
      </c>
    </row>
    <row r="193" spans="1:9" ht="29.25" customHeight="1" x14ac:dyDescent="0.25">
      <c r="A193" s="2" t="s">
        <v>271</v>
      </c>
      <c r="B193" s="3" t="s">
        <v>198</v>
      </c>
      <c r="C193" s="3">
        <v>1928</v>
      </c>
      <c r="D193" s="3">
        <v>1946</v>
      </c>
      <c r="E193" s="2">
        <f>Table1[[#This Row],[End year]]-Table1[[#This Row],[Starting year]]</f>
        <v>18</v>
      </c>
      <c r="F193" s="1">
        <v>1855</v>
      </c>
      <c r="G193" s="2" t="s">
        <v>372</v>
      </c>
      <c r="H193" s="2" t="str">
        <f>VLOOKUP(DATE(2023,MONTH(F193),DAY(F193)),Signs!A:C,3)</f>
        <v>Aquarius</v>
      </c>
      <c r="I193" s="2">
        <v>11</v>
      </c>
    </row>
    <row r="194" spans="1:9" ht="29.25" customHeight="1" x14ac:dyDescent="0.25">
      <c r="A194" s="2" t="s">
        <v>229</v>
      </c>
      <c r="B194" s="2" t="s">
        <v>52</v>
      </c>
      <c r="C194" s="2">
        <v>1946</v>
      </c>
      <c r="D194" s="2">
        <v>1947</v>
      </c>
      <c r="E194" s="2">
        <f>Table1[[#This Row],[End year]]-Table1[[#This Row],[Starting year]]</f>
        <v>1</v>
      </c>
      <c r="F194" s="1">
        <v>8955</v>
      </c>
      <c r="G194" s="2" t="s">
        <v>372</v>
      </c>
      <c r="H194" s="2" t="str">
        <f>VLOOKUP(DATE(2023,MONTH(F194),DAY(F194)),Signs!A:C,3)</f>
        <v>Cancer</v>
      </c>
      <c r="I194" s="2">
        <v>10</v>
      </c>
    </row>
    <row r="195" spans="1:9" ht="29.25" customHeight="1" x14ac:dyDescent="0.25">
      <c r="A195" s="2" t="s">
        <v>230</v>
      </c>
      <c r="B195" s="2" t="s">
        <v>18</v>
      </c>
      <c r="C195" s="2">
        <v>1983</v>
      </c>
      <c r="D195" s="2">
        <v>1983</v>
      </c>
      <c r="E195" s="2">
        <f>Table1[[#This Row],[End year]]-Table1[[#This Row],[Starting year]]</f>
        <v>0</v>
      </c>
      <c r="F195" s="1">
        <v>18398</v>
      </c>
      <c r="G195" s="2" t="s">
        <v>372</v>
      </c>
      <c r="H195" s="2" t="str">
        <f>VLOOKUP(DATE(2023,MONTH(F195),DAY(F195)),Signs!A:C,3)</f>
        <v>Taurus</v>
      </c>
      <c r="I195" s="2">
        <v>10</v>
      </c>
    </row>
    <row r="196" spans="1:9" ht="29.25" customHeight="1" x14ac:dyDescent="0.25">
      <c r="A196" s="2" t="s">
        <v>231</v>
      </c>
      <c r="B196" s="2" t="s">
        <v>18</v>
      </c>
      <c r="C196" s="2">
        <v>1996</v>
      </c>
      <c r="D196" s="2">
        <v>2011</v>
      </c>
      <c r="E196" s="2">
        <f>Table1[[#This Row],[End year]]-Table1[[#This Row],[Starting year]]</f>
        <v>15</v>
      </c>
      <c r="F196" s="1" t="s">
        <v>200</v>
      </c>
      <c r="G196" s="2" t="s">
        <v>374</v>
      </c>
      <c r="H196" s="4" t="s">
        <v>200</v>
      </c>
      <c r="I196" s="2">
        <v>10</v>
      </c>
    </row>
    <row r="197" spans="1:9" ht="29.25" customHeight="1" x14ac:dyDescent="0.25">
      <c r="A197" s="2" t="s">
        <v>232</v>
      </c>
      <c r="B197" s="2" t="s">
        <v>18</v>
      </c>
      <c r="C197" s="2">
        <v>1979</v>
      </c>
      <c r="D197" s="2">
        <v>1986</v>
      </c>
      <c r="E197" s="2">
        <f>Table1[[#This Row],[End year]]-Table1[[#This Row],[Starting year]]</f>
        <v>7</v>
      </c>
      <c r="F197" s="1">
        <v>19892</v>
      </c>
      <c r="G197" s="2" t="s">
        <v>372</v>
      </c>
      <c r="H197" s="2" t="str">
        <f>VLOOKUP(DATE(2023,MONTH(F197),DAY(F197)),Signs!A:C,3)</f>
        <v>Gemini</v>
      </c>
      <c r="I197" s="2">
        <v>10</v>
      </c>
    </row>
    <row r="198" spans="1:9" ht="29.25" customHeight="1" x14ac:dyDescent="0.25">
      <c r="A198" s="2" t="s">
        <v>233</v>
      </c>
      <c r="B198" s="2" t="s">
        <v>18</v>
      </c>
      <c r="C198" s="2">
        <v>1985</v>
      </c>
      <c r="D198" s="2">
        <v>2007</v>
      </c>
      <c r="E198" s="2">
        <f>Table1[[#This Row],[End year]]-Table1[[#This Row],[Starting year]]</f>
        <v>22</v>
      </c>
      <c r="F198" s="1">
        <v>19236</v>
      </c>
      <c r="G198" s="2" t="s">
        <v>372</v>
      </c>
      <c r="H198" s="2" t="str">
        <f>VLOOKUP(DATE(2023,MONTH(F198),DAY(F198)),Signs!A:C,3)</f>
        <v>Virgo</v>
      </c>
      <c r="I198" s="2">
        <v>10</v>
      </c>
    </row>
    <row r="199" spans="1:9" ht="29.25" customHeight="1" x14ac:dyDescent="0.25">
      <c r="A199" s="2" t="s">
        <v>234</v>
      </c>
      <c r="B199" s="2" t="s">
        <v>9</v>
      </c>
      <c r="C199" s="2">
        <v>1999</v>
      </c>
      <c r="D199" s="2">
        <v>1999</v>
      </c>
      <c r="E199" s="2">
        <f>Table1[[#This Row],[End year]]-Table1[[#This Row],[Starting year]]</f>
        <v>0</v>
      </c>
      <c r="F199" s="1">
        <v>28256</v>
      </c>
      <c r="G199" s="2" t="s">
        <v>372</v>
      </c>
      <c r="H199" s="2" t="str">
        <f>VLOOKUP(DATE(2023,MONTH(F199),DAY(F199)),Signs!A:C,3)</f>
        <v>Taurus</v>
      </c>
      <c r="I199" s="2">
        <v>10</v>
      </c>
    </row>
    <row r="200" spans="1:9" ht="29.25" customHeight="1" x14ac:dyDescent="0.25">
      <c r="A200" s="2" t="s">
        <v>235</v>
      </c>
      <c r="B200" s="2" t="s">
        <v>18</v>
      </c>
      <c r="C200" s="2">
        <v>1984</v>
      </c>
      <c r="D200" s="2">
        <v>1984</v>
      </c>
      <c r="E200" s="2">
        <f>Table1[[#This Row],[End year]]-Table1[[#This Row],[Starting year]]</f>
        <v>0</v>
      </c>
      <c r="F200" s="1">
        <v>19646</v>
      </c>
      <c r="G200" s="2" t="s">
        <v>372</v>
      </c>
      <c r="H200" s="2" t="str">
        <f>VLOOKUP(DATE(2023,MONTH(F200),DAY(F200)),Signs!A:C,3)</f>
        <v>Libra</v>
      </c>
      <c r="I200" s="2">
        <v>10</v>
      </c>
    </row>
    <row r="201" spans="1:9" ht="29.25" customHeight="1" x14ac:dyDescent="0.25">
      <c r="A201" s="2" t="s">
        <v>236</v>
      </c>
      <c r="B201" s="2" t="s">
        <v>35</v>
      </c>
      <c r="C201" s="2">
        <v>1990</v>
      </c>
      <c r="D201" s="2">
        <v>1997</v>
      </c>
      <c r="E201" s="2">
        <f>Table1[[#This Row],[End year]]-Table1[[#This Row],[Starting year]]</f>
        <v>7</v>
      </c>
      <c r="F201" s="1">
        <v>24422</v>
      </c>
      <c r="G201" s="2" t="s">
        <v>372</v>
      </c>
      <c r="H201" s="2" t="str">
        <f>VLOOKUP(DATE(2023,MONTH(F201),DAY(F201)),Signs!A:C,3)</f>
        <v>Scorpio</v>
      </c>
      <c r="I201" s="2">
        <v>10</v>
      </c>
    </row>
    <row r="202" spans="1:9" ht="29.25" customHeight="1" x14ac:dyDescent="0.25">
      <c r="A202" s="2" t="s">
        <v>237</v>
      </c>
      <c r="B202" s="2" t="s">
        <v>35</v>
      </c>
      <c r="C202" s="2">
        <v>2004</v>
      </c>
      <c r="D202" s="2">
        <v>2008</v>
      </c>
      <c r="E202" s="2">
        <f>Table1[[#This Row],[End year]]-Table1[[#This Row],[Starting year]]</f>
        <v>4</v>
      </c>
      <c r="F202" s="1" t="s">
        <v>200</v>
      </c>
      <c r="G202" s="2" t="s">
        <v>372</v>
      </c>
      <c r="H202" s="4" t="s">
        <v>200</v>
      </c>
      <c r="I202" s="2">
        <v>10</v>
      </c>
    </row>
    <row r="203" spans="1:9" ht="29.25" customHeight="1" x14ac:dyDescent="0.25">
      <c r="A203" s="2" t="s">
        <v>238</v>
      </c>
      <c r="B203" s="2" t="s">
        <v>18</v>
      </c>
      <c r="C203" s="2">
        <v>1964</v>
      </c>
      <c r="D203" s="2">
        <v>1973</v>
      </c>
      <c r="E203" s="2">
        <f>Table1[[#This Row],[End year]]-Table1[[#This Row],[Starting year]]</f>
        <v>9</v>
      </c>
      <c r="F203" s="1">
        <v>17885</v>
      </c>
      <c r="G203" s="2" t="s">
        <v>372</v>
      </c>
      <c r="H203" s="2" t="str">
        <f>VLOOKUP(DATE(2023,MONTH(F203),DAY(F203)),Signs!A:C,3)</f>
        <v>Sagittarius</v>
      </c>
      <c r="I203" s="2">
        <v>10</v>
      </c>
    </row>
    <row r="204" spans="1:9" ht="29.25" customHeight="1" x14ac:dyDescent="0.25">
      <c r="A204" s="2" t="s">
        <v>239</v>
      </c>
      <c r="B204" s="2" t="s">
        <v>18</v>
      </c>
      <c r="C204" s="2">
        <v>1974</v>
      </c>
      <c r="D204" s="2">
        <v>2004</v>
      </c>
      <c r="E204" s="2">
        <f>Table1[[#This Row],[End year]]-Table1[[#This Row],[Starting year]]</f>
        <v>30</v>
      </c>
      <c r="F204" s="1">
        <v>16505</v>
      </c>
      <c r="G204" s="2" t="s">
        <v>372</v>
      </c>
      <c r="H204" s="2" t="str">
        <f>VLOOKUP(DATE(2023,MONTH(F204),DAY(F204)),Signs!A:C,3)</f>
        <v>Pisces</v>
      </c>
      <c r="I204" s="2">
        <v>10</v>
      </c>
    </row>
    <row r="205" spans="1:9" ht="29.25" customHeight="1" x14ac:dyDescent="0.25">
      <c r="A205" s="2" t="s">
        <v>240</v>
      </c>
      <c r="B205" s="2" t="s">
        <v>100</v>
      </c>
      <c r="C205" s="2">
        <v>1997</v>
      </c>
      <c r="D205" s="2">
        <v>2014</v>
      </c>
      <c r="E205" s="2">
        <f>Table1[[#This Row],[End year]]-Table1[[#This Row],[Starting year]]</f>
        <v>17</v>
      </c>
      <c r="F205" s="1" t="s">
        <v>200</v>
      </c>
      <c r="G205" s="2" t="s">
        <v>372</v>
      </c>
      <c r="H205" s="4" t="s">
        <v>200</v>
      </c>
      <c r="I205" s="2">
        <v>10</v>
      </c>
    </row>
    <row r="206" spans="1:9" ht="29.25" customHeight="1" x14ac:dyDescent="0.25">
      <c r="A206" s="2" t="s">
        <v>241</v>
      </c>
      <c r="B206" s="2" t="s">
        <v>203</v>
      </c>
      <c r="C206" s="2">
        <v>1992</v>
      </c>
      <c r="D206" s="2">
        <v>1999</v>
      </c>
      <c r="E206" s="2">
        <f>Table1[[#This Row],[End year]]-Table1[[#This Row],[Starting year]]</f>
        <v>7</v>
      </c>
      <c r="F206" s="1">
        <v>26265</v>
      </c>
      <c r="G206" s="2" t="s">
        <v>372</v>
      </c>
      <c r="H206" s="2" t="str">
        <f>VLOOKUP(DATE(2023,MONTH(F206),DAY(F206)),Signs!A:C,3)</f>
        <v>Sagittarius</v>
      </c>
      <c r="I206" s="2">
        <v>10</v>
      </c>
    </row>
    <row r="207" spans="1:9" ht="29.25" customHeight="1" x14ac:dyDescent="0.25">
      <c r="A207" s="2" t="s">
        <v>242</v>
      </c>
      <c r="B207" s="2" t="s">
        <v>103</v>
      </c>
      <c r="C207" s="2">
        <v>1905</v>
      </c>
      <c r="D207" s="2">
        <v>1908</v>
      </c>
      <c r="E207" s="2">
        <f>Table1[[#This Row],[End year]]-Table1[[#This Row],[Starting year]]</f>
        <v>3</v>
      </c>
      <c r="F207" s="1">
        <v>45206</v>
      </c>
      <c r="G207" s="2" t="s">
        <v>372</v>
      </c>
      <c r="H207" s="2" t="str">
        <f>VLOOKUP(DATE(2023,MONTH(F207),DAY(F207)),Signs!A:C,3)</f>
        <v>Libra</v>
      </c>
      <c r="I207" s="2">
        <v>10</v>
      </c>
    </row>
    <row r="208" spans="1:9" ht="29.25" customHeight="1" x14ac:dyDescent="0.25">
      <c r="A208" s="2" t="s">
        <v>243</v>
      </c>
      <c r="B208" s="2" t="s">
        <v>18</v>
      </c>
      <c r="C208" s="2">
        <v>1990</v>
      </c>
      <c r="D208" s="2">
        <v>1994</v>
      </c>
      <c r="E208" s="2">
        <f>Table1[[#This Row],[End year]]-Table1[[#This Row],[Starting year]]</f>
        <v>4</v>
      </c>
      <c r="F208" s="1">
        <v>24050</v>
      </c>
      <c r="G208" s="2" t="s">
        <v>372</v>
      </c>
      <c r="H208" s="2" t="str">
        <f>VLOOKUP(DATE(2023,MONTH(F208),DAY(F208)),Signs!A:C,3)</f>
        <v>Scorpio</v>
      </c>
      <c r="I208" s="2">
        <v>10</v>
      </c>
    </row>
    <row r="209" spans="1:9" ht="29.25" customHeight="1" x14ac:dyDescent="0.25">
      <c r="A209" s="2" t="s">
        <v>244</v>
      </c>
      <c r="B209" s="2" t="s">
        <v>18</v>
      </c>
      <c r="C209" s="2">
        <v>1977</v>
      </c>
      <c r="D209" s="2">
        <v>1979</v>
      </c>
      <c r="E209" s="2">
        <f>Table1[[#This Row],[End year]]-Table1[[#This Row],[Starting year]]</f>
        <v>2</v>
      </c>
      <c r="F209" s="1">
        <v>12697</v>
      </c>
      <c r="G209" s="2" t="s">
        <v>372</v>
      </c>
      <c r="H209" s="2" t="str">
        <f>VLOOKUP(DATE(2023,MONTH(F209),DAY(F209)),Signs!A:C,3)</f>
        <v>Libra</v>
      </c>
      <c r="I209" s="2">
        <v>10</v>
      </c>
    </row>
    <row r="210" spans="1:9" ht="29.25" customHeight="1" x14ac:dyDescent="0.25">
      <c r="A210" s="2" t="s">
        <v>245</v>
      </c>
      <c r="B210" s="2" t="s">
        <v>14</v>
      </c>
      <c r="C210" s="2">
        <v>1995</v>
      </c>
      <c r="D210" s="2">
        <v>1998</v>
      </c>
      <c r="E210" s="2">
        <f>Table1[[#This Row],[End year]]-Table1[[#This Row],[Starting year]]</f>
        <v>3</v>
      </c>
      <c r="F210" s="1" t="s">
        <v>200</v>
      </c>
      <c r="G210" s="2" t="s">
        <v>372</v>
      </c>
      <c r="H210" s="4" t="s">
        <v>200</v>
      </c>
      <c r="I210" s="2">
        <v>10</v>
      </c>
    </row>
    <row r="211" spans="1:9" ht="29.25" customHeight="1" x14ac:dyDescent="0.25">
      <c r="A211" s="2" t="s">
        <v>246</v>
      </c>
      <c r="B211" s="2" t="s">
        <v>16</v>
      </c>
      <c r="C211" s="2">
        <v>2004</v>
      </c>
      <c r="D211" s="2">
        <v>2012</v>
      </c>
      <c r="E211" s="2">
        <f>Table1[[#This Row],[End year]]-Table1[[#This Row],[Starting year]]</f>
        <v>8</v>
      </c>
      <c r="F211" s="1">
        <v>25605</v>
      </c>
      <c r="G211" s="2" t="s">
        <v>372</v>
      </c>
      <c r="H211" s="2" t="str">
        <f>VLOOKUP(DATE(2023,MONTH(F211),DAY(F211)),Signs!A:C,3)</f>
        <v>Aquarius</v>
      </c>
      <c r="I211" s="2">
        <v>10</v>
      </c>
    </row>
    <row r="212" spans="1:9" ht="29.25" customHeight="1" x14ac:dyDescent="0.25">
      <c r="A212" s="2" t="s">
        <v>247</v>
      </c>
      <c r="B212" s="2" t="s">
        <v>82</v>
      </c>
      <c r="C212" s="2">
        <v>2006</v>
      </c>
      <c r="D212" s="2">
        <v>2008</v>
      </c>
      <c r="E212" s="2">
        <f>Table1[[#This Row],[End year]]-Table1[[#This Row],[Starting year]]</f>
        <v>2</v>
      </c>
      <c r="F212" s="1">
        <v>25486</v>
      </c>
      <c r="G212" s="2" t="s">
        <v>372</v>
      </c>
      <c r="H212" s="2" t="str">
        <f>VLOOKUP(DATE(2023,MONTH(F212),DAY(F212)),Signs!A:C,3)</f>
        <v>Libra</v>
      </c>
      <c r="I212" s="2">
        <v>10</v>
      </c>
    </row>
    <row r="213" spans="1:9" ht="29.25" customHeight="1" x14ac:dyDescent="0.25">
      <c r="A213" s="2" t="s">
        <v>248</v>
      </c>
      <c r="B213" s="2" t="s">
        <v>9</v>
      </c>
      <c r="C213" s="2">
        <v>1996</v>
      </c>
      <c r="D213" s="2">
        <v>1998</v>
      </c>
      <c r="E213" s="2">
        <f>Table1[[#This Row],[End year]]-Table1[[#This Row],[Starting year]]</f>
        <v>2</v>
      </c>
      <c r="F213" s="1">
        <v>27667</v>
      </c>
      <c r="G213" s="2" t="s">
        <v>372</v>
      </c>
      <c r="H213" s="2" t="str">
        <f>VLOOKUP(DATE(2023,MONTH(F213),DAY(F213)),Signs!A:C,3)</f>
        <v>Libra</v>
      </c>
      <c r="I213" s="2">
        <v>10</v>
      </c>
    </row>
    <row r="214" spans="1:9" ht="29.25" customHeight="1" x14ac:dyDescent="0.25">
      <c r="A214" s="2" t="s">
        <v>249</v>
      </c>
      <c r="B214" s="3" t="s">
        <v>113</v>
      </c>
      <c r="C214" s="3">
        <v>1991</v>
      </c>
      <c r="D214" s="3">
        <v>1992</v>
      </c>
      <c r="E214" s="2">
        <f>Table1[[#This Row],[End year]]-Table1[[#This Row],[Starting year]]</f>
        <v>1</v>
      </c>
      <c r="F214" s="1">
        <v>25323</v>
      </c>
      <c r="G214" s="2" t="s">
        <v>372</v>
      </c>
      <c r="H214" s="2" t="str">
        <f>VLOOKUP(DATE(2023,MONTH(F214),DAY(F214)),Signs!A:C,3)</f>
        <v>Taurus</v>
      </c>
      <c r="I214" s="2">
        <v>10</v>
      </c>
    </row>
    <row r="215" spans="1:9" ht="29.25" customHeight="1" x14ac:dyDescent="0.25">
      <c r="A215" s="2" t="s">
        <v>250</v>
      </c>
      <c r="B215" s="2" t="s">
        <v>9</v>
      </c>
      <c r="C215" s="2">
        <v>1980</v>
      </c>
      <c r="D215" s="2">
        <v>1982</v>
      </c>
      <c r="E215" s="2">
        <f>Table1[[#This Row],[End year]]-Table1[[#This Row],[Starting year]]</f>
        <v>2</v>
      </c>
      <c r="F215" s="1">
        <v>15021</v>
      </c>
      <c r="G215" s="2" t="s">
        <v>372</v>
      </c>
      <c r="H215" s="2" t="str">
        <f>VLOOKUP(DATE(2023,MONTH(F215),DAY(F215)),Signs!A:C,3)</f>
        <v>Aquarius</v>
      </c>
      <c r="I215" s="2">
        <v>10</v>
      </c>
    </row>
    <row r="216" spans="1:9" ht="29.25" customHeight="1" x14ac:dyDescent="0.25">
      <c r="A216" s="2" t="s">
        <v>252</v>
      </c>
      <c r="B216" s="2" t="s">
        <v>35</v>
      </c>
      <c r="C216" s="2">
        <v>1986</v>
      </c>
      <c r="D216" s="2">
        <v>1989</v>
      </c>
      <c r="E216" s="2">
        <f>Table1[[#This Row],[End year]]-Table1[[#This Row],[Starting year]]</f>
        <v>3</v>
      </c>
      <c r="F216" s="1" t="s">
        <v>200</v>
      </c>
      <c r="G216" s="2" t="s">
        <v>372</v>
      </c>
      <c r="H216" s="4" t="s">
        <v>200</v>
      </c>
      <c r="I216" s="2">
        <v>9</v>
      </c>
    </row>
    <row r="217" spans="1:9" ht="29.25" customHeight="1" x14ac:dyDescent="0.25">
      <c r="A217" s="2" t="s">
        <v>253</v>
      </c>
      <c r="B217" s="3" t="s">
        <v>52</v>
      </c>
      <c r="C217" s="3">
        <v>1913</v>
      </c>
      <c r="D217" s="3">
        <v>1930</v>
      </c>
      <c r="E217" s="2">
        <f>Table1[[#This Row],[End year]]-Table1[[#This Row],[Starting year]]</f>
        <v>17</v>
      </c>
      <c r="F217" s="1">
        <v>45072</v>
      </c>
      <c r="G217" s="2" t="s">
        <v>372</v>
      </c>
      <c r="H217" s="2" t="str">
        <f>VLOOKUP(DATE(2023,MONTH(F217),DAY(F217)),Signs!A:C,3)</f>
        <v>Gemini</v>
      </c>
      <c r="I217" s="2">
        <v>9</v>
      </c>
    </row>
    <row r="218" spans="1:9" ht="29.25" customHeight="1" x14ac:dyDescent="0.25">
      <c r="A218" s="2" t="s">
        <v>254</v>
      </c>
      <c r="B218" s="2" t="s">
        <v>18</v>
      </c>
      <c r="C218" s="2">
        <v>1974</v>
      </c>
      <c r="D218" s="2">
        <v>1978</v>
      </c>
      <c r="E218" s="2">
        <f>Table1[[#This Row],[End year]]-Table1[[#This Row],[Starting year]]</f>
        <v>4</v>
      </c>
      <c r="F218" s="1">
        <v>18936</v>
      </c>
      <c r="G218" s="2" t="s">
        <v>372</v>
      </c>
      <c r="H218" s="2" t="str">
        <f>VLOOKUP(DATE(2023,MONTH(F218),DAY(F218)),Signs!A:C,3)</f>
        <v>Scorpio</v>
      </c>
      <c r="I218" s="2">
        <v>9</v>
      </c>
    </row>
    <row r="219" spans="1:9" ht="29.25" customHeight="1" x14ac:dyDescent="0.25">
      <c r="A219" s="2" t="s">
        <v>255</v>
      </c>
      <c r="B219" s="2" t="s">
        <v>35</v>
      </c>
      <c r="C219" s="2">
        <v>1986</v>
      </c>
      <c r="D219" s="2">
        <v>1994</v>
      </c>
      <c r="E219" s="2">
        <f>Table1[[#This Row],[End year]]-Table1[[#This Row],[Starting year]]</f>
        <v>8</v>
      </c>
      <c r="F219" s="1">
        <v>24484</v>
      </c>
      <c r="G219" s="2" t="s">
        <v>372</v>
      </c>
      <c r="H219" s="2" t="str">
        <f>VLOOKUP(DATE(2023,MONTH(F219),DAY(F219)),Signs!A:C,3)</f>
        <v>Capricorn</v>
      </c>
      <c r="I219" s="2">
        <v>9</v>
      </c>
    </row>
    <row r="220" spans="1:9" ht="29.25" customHeight="1" x14ac:dyDescent="0.25">
      <c r="A220" s="2" t="s">
        <v>256</v>
      </c>
      <c r="B220" s="2" t="s">
        <v>103</v>
      </c>
      <c r="C220" s="2">
        <v>1984</v>
      </c>
      <c r="D220" s="2">
        <v>1992</v>
      </c>
      <c r="E220" s="2">
        <f>Table1[[#This Row],[End year]]-Table1[[#This Row],[Starting year]]</f>
        <v>8</v>
      </c>
      <c r="F220" s="1">
        <v>21606</v>
      </c>
      <c r="G220" s="2" t="s">
        <v>372</v>
      </c>
      <c r="H220" s="2" t="str">
        <f>VLOOKUP(DATE(2023,MONTH(F220),DAY(F220)),Signs!A:C,3)</f>
        <v>Pisces</v>
      </c>
      <c r="I220" s="2">
        <v>9</v>
      </c>
    </row>
    <row r="221" spans="1:9" ht="29.25" customHeight="1" x14ac:dyDescent="0.25">
      <c r="A221" s="2" t="s">
        <v>257</v>
      </c>
      <c r="B221" s="2" t="s">
        <v>18</v>
      </c>
      <c r="C221" s="2">
        <v>1989</v>
      </c>
      <c r="D221" s="2">
        <v>1993</v>
      </c>
      <c r="E221" s="2">
        <f>Table1[[#This Row],[End year]]-Table1[[#This Row],[Starting year]]</f>
        <v>4</v>
      </c>
      <c r="F221" s="1">
        <v>21570</v>
      </c>
      <c r="G221" s="2" t="s">
        <v>372</v>
      </c>
      <c r="H221" s="2" t="str">
        <f>VLOOKUP(DATE(2023,MONTH(F221),DAY(F221)),Signs!A:C,3)</f>
        <v>Aquarius</v>
      </c>
      <c r="I221" s="2">
        <v>9</v>
      </c>
    </row>
    <row r="222" spans="1:9" ht="29.25" customHeight="1" x14ac:dyDescent="0.25">
      <c r="A222" s="2" t="s">
        <v>258</v>
      </c>
      <c r="B222" s="2" t="s">
        <v>259</v>
      </c>
      <c r="C222" s="2">
        <v>1913</v>
      </c>
      <c r="D222" s="2">
        <v>1920</v>
      </c>
      <c r="E222" s="2">
        <f>Table1[[#This Row],[End year]]-Table1[[#This Row],[Starting year]]</f>
        <v>7</v>
      </c>
      <c r="F222" s="1">
        <v>45039</v>
      </c>
      <c r="G222" s="2" t="s">
        <v>372</v>
      </c>
      <c r="H222" s="2" t="str">
        <f>VLOOKUP(DATE(2023,MONTH(F222),DAY(F222)),Signs!A:C,3)</f>
        <v>Taurus</v>
      </c>
      <c r="I222" s="2">
        <v>9</v>
      </c>
    </row>
    <row r="223" spans="1:9" ht="29.25" customHeight="1" x14ac:dyDescent="0.25">
      <c r="A223" s="2" t="s">
        <v>260</v>
      </c>
      <c r="B223" s="2" t="s">
        <v>18</v>
      </c>
      <c r="C223" s="2">
        <v>1966</v>
      </c>
      <c r="D223" s="2">
        <v>1992</v>
      </c>
      <c r="E223" s="2">
        <f>Table1[[#This Row],[End year]]-Table1[[#This Row],[Starting year]]</f>
        <v>26</v>
      </c>
      <c r="F223" s="1">
        <v>16882</v>
      </c>
      <c r="G223" s="2" t="s">
        <v>372</v>
      </c>
      <c r="H223" s="2" t="str">
        <f>VLOOKUP(DATE(2023,MONTH(F223),DAY(F223)),Signs!A:C,3)</f>
        <v>Aries</v>
      </c>
      <c r="I223" s="2">
        <v>9</v>
      </c>
    </row>
    <row r="224" spans="1:9" ht="29.25" customHeight="1" x14ac:dyDescent="0.25">
      <c r="A224" s="2" t="s">
        <v>261</v>
      </c>
      <c r="B224" s="2" t="s">
        <v>18</v>
      </c>
      <c r="C224" s="2">
        <v>1981</v>
      </c>
      <c r="D224" s="2">
        <v>1996</v>
      </c>
      <c r="E224" s="2">
        <f>Table1[[#This Row],[End year]]-Table1[[#This Row],[Starting year]]</f>
        <v>15</v>
      </c>
      <c r="F224" s="1">
        <v>21612</v>
      </c>
      <c r="G224" s="2" t="s">
        <v>372</v>
      </c>
      <c r="H224" s="2" t="str">
        <f>VLOOKUP(DATE(2023,MONTH(F224),DAY(F224)),Signs!A:C,3)</f>
        <v>Pisces</v>
      </c>
      <c r="I224" s="2">
        <v>9</v>
      </c>
    </row>
    <row r="225" spans="1:9" ht="29.25" customHeight="1" x14ac:dyDescent="0.25">
      <c r="A225" s="2" t="s">
        <v>262</v>
      </c>
      <c r="B225" s="2" t="s">
        <v>18</v>
      </c>
      <c r="C225" s="2">
        <v>1958</v>
      </c>
      <c r="D225" s="2">
        <v>1983</v>
      </c>
      <c r="E225" s="2">
        <f>Table1[[#This Row],[End year]]-Table1[[#This Row],[Starting year]]</f>
        <v>25</v>
      </c>
      <c r="F225" s="1">
        <v>14847</v>
      </c>
      <c r="G225" s="2" t="s">
        <v>372</v>
      </c>
      <c r="H225" s="2" t="str">
        <f>VLOOKUP(DATE(2023,MONTH(F225),DAY(F225)),Signs!A:C,3)</f>
        <v>Virgo</v>
      </c>
      <c r="I225" s="2">
        <v>9</v>
      </c>
    </row>
    <row r="226" spans="1:9" ht="29.25" customHeight="1" x14ac:dyDescent="0.25">
      <c r="A226" s="2" t="s">
        <v>263</v>
      </c>
      <c r="B226" s="2" t="s">
        <v>9</v>
      </c>
      <c r="C226" s="2">
        <v>2009</v>
      </c>
      <c r="D226" s="2">
        <v>2012</v>
      </c>
      <c r="E226" s="2">
        <f>Table1[[#This Row],[End year]]-Table1[[#This Row],[Starting year]]</f>
        <v>3</v>
      </c>
      <c r="F226" s="1">
        <v>32234</v>
      </c>
      <c r="G226" s="2" t="s">
        <v>372</v>
      </c>
      <c r="H226" s="2" t="str">
        <f>VLOOKUP(DATE(2023,MONTH(F226),DAY(F226)),Signs!A:C,3)</f>
        <v>Aries</v>
      </c>
      <c r="I226" s="2">
        <v>9</v>
      </c>
    </row>
    <row r="227" spans="1:9" ht="29.25" customHeight="1" x14ac:dyDescent="0.25">
      <c r="A227" s="2" t="s">
        <v>264</v>
      </c>
      <c r="B227" s="2" t="s">
        <v>18</v>
      </c>
      <c r="C227" s="2">
        <v>1988</v>
      </c>
      <c r="D227" s="2">
        <v>1989</v>
      </c>
      <c r="E227" s="2">
        <f>Table1[[#This Row],[End year]]-Table1[[#This Row],[Starting year]]</f>
        <v>1</v>
      </c>
      <c r="F227" s="1" t="s">
        <v>200</v>
      </c>
      <c r="G227" s="2" t="s">
        <v>374</v>
      </c>
      <c r="H227" s="4" t="s">
        <v>200</v>
      </c>
      <c r="I227" s="2">
        <v>9</v>
      </c>
    </row>
    <row r="228" spans="1:9" ht="29.25" customHeight="1" x14ac:dyDescent="0.25">
      <c r="A228" s="2" t="s">
        <v>265</v>
      </c>
      <c r="B228" s="2" t="s">
        <v>18</v>
      </c>
      <c r="C228" s="2">
        <v>2015</v>
      </c>
      <c r="D228" s="2">
        <v>2016</v>
      </c>
      <c r="E228" s="2">
        <f>Table1[[#This Row],[End year]]-Table1[[#This Row],[Starting year]]</f>
        <v>1</v>
      </c>
      <c r="F228" s="1">
        <v>34430</v>
      </c>
      <c r="G228" s="2" t="s">
        <v>372</v>
      </c>
      <c r="H228" s="2" t="str">
        <f>VLOOKUP(DATE(2023,MONTH(F228),DAY(F228)),Signs!A:C,3)</f>
        <v>Aries</v>
      </c>
      <c r="I228" s="2">
        <v>9</v>
      </c>
    </row>
    <row r="229" spans="1:9" ht="29.25" customHeight="1" x14ac:dyDescent="0.25">
      <c r="A229" s="2" t="s">
        <v>266</v>
      </c>
      <c r="B229" s="2" t="s">
        <v>9</v>
      </c>
      <c r="C229" s="2">
        <v>1996</v>
      </c>
      <c r="D229" s="2">
        <v>2000</v>
      </c>
      <c r="E229" s="2">
        <f>Table1[[#This Row],[End year]]-Table1[[#This Row],[Starting year]]</f>
        <v>4</v>
      </c>
      <c r="F229" s="1">
        <v>18093</v>
      </c>
      <c r="G229" s="2" t="s">
        <v>372</v>
      </c>
      <c r="H229" s="2" t="str">
        <f>VLOOKUP(DATE(2023,MONTH(F229),DAY(F229)),Signs!A:C,3)</f>
        <v>Cancer</v>
      </c>
      <c r="I229" s="2">
        <v>9</v>
      </c>
    </row>
    <row r="230" spans="1:9" ht="29.25" customHeight="1" x14ac:dyDescent="0.25">
      <c r="A230" s="2" t="s">
        <v>267</v>
      </c>
      <c r="B230" s="2" t="s">
        <v>18</v>
      </c>
      <c r="C230" s="2">
        <v>1978</v>
      </c>
      <c r="D230" s="2">
        <v>2006</v>
      </c>
      <c r="E230" s="2">
        <f>Table1[[#This Row],[End year]]-Table1[[#This Row],[Starting year]]</f>
        <v>28</v>
      </c>
      <c r="F230" s="1">
        <v>16404</v>
      </c>
      <c r="G230" s="2" t="s">
        <v>372</v>
      </c>
      <c r="H230" s="2" t="str">
        <f>VLOOKUP(DATE(2023,MONTH(F230),DAY(F230)),Signs!A:C,3)</f>
        <v>Sagittarius</v>
      </c>
      <c r="I230" s="2">
        <v>9</v>
      </c>
    </row>
    <row r="231" spans="1:9" ht="29.25" customHeight="1" x14ac:dyDescent="0.25">
      <c r="A231" s="2" t="s">
        <v>268</v>
      </c>
      <c r="B231" s="2" t="s">
        <v>18</v>
      </c>
      <c r="C231" s="2">
        <v>2005</v>
      </c>
      <c r="D231" s="2">
        <v>2009</v>
      </c>
      <c r="E231" s="2">
        <f>Table1[[#This Row],[End year]]-Table1[[#This Row],[Starting year]]</f>
        <v>4</v>
      </c>
      <c r="F231" s="1" t="s">
        <v>200</v>
      </c>
      <c r="G231" s="2" t="s">
        <v>374</v>
      </c>
      <c r="H231" s="4" t="s">
        <v>200</v>
      </c>
      <c r="I231" s="2">
        <v>9</v>
      </c>
    </row>
    <row r="232" spans="1:9" ht="29.25" customHeight="1" x14ac:dyDescent="0.25">
      <c r="A232" s="2" t="s">
        <v>269</v>
      </c>
      <c r="B232" s="2" t="s">
        <v>203</v>
      </c>
      <c r="C232" s="2">
        <v>1958</v>
      </c>
      <c r="D232" s="2">
        <v>1963</v>
      </c>
      <c r="E232" s="2">
        <f>Table1[[#This Row],[End year]]-Table1[[#This Row],[Starting year]]</f>
        <v>5</v>
      </c>
      <c r="F232" s="1">
        <v>11379</v>
      </c>
      <c r="G232" s="2" t="s">
        <v>372</v>
      </c>
      <c r="H232" s="2" t="str">
        <f>VLOOKUP(DATE(2023,MONTH(F232),DAY(F232)),Signs!A:C,3)</f>
        <v>Pisces</v>
      </c>
      <c r="I232" s="2">
        <v>8</v>
      </c>
    </row>
    <row r="233" spans="1:9" ht="29.25" customHeight="1" x14ac:dyDescent="0.25">
      <c r="A233" s="2" t="s">
        <v>272</v>
      </c>
      <c r="B233" s="2" t="s">
        <v>18</v>
      </c>
      <c r="C233" s="2">
        <v>1990</v>
      </c>
      <c r="D233" s="2">
        <v>1995</v>
      </c>
      <c r="E233" s="2">
        <f>Table1[[#This Row],[End year]]-Table1[[#This Row],[Starting year]]</f>
        <v>5</v>
      </c>
      <c r="F233" s="1">
        <v>20185</v>
      </c>
      <c r="G233" s="2" t="s">
        <v>372</v>
      </c>
      <c r="H233" s="2" t="str">
        <f>VLOOKUP(DATE(2023,MONTH(F233),DAY(F233)),Signs!A:C,3)</f>
        <v>Aries</v>
      </c>
      <c r="I233" s="2">
        <v>8</v>
      </c>
    </row>
    <row r="234" spans="1:9" ht="29.25" customHeight="1" x14ac:dyDescent="0.25">
      <c r="A234" s="2" t="s">
        <v>273</v>
      </c>
      <c r="B234" s="2" t="s">
        <v>18</v>
      </c>
      <c r="C234" s="2">
        <v>1971</v>
      </c>
      <c r="D234" s="2">
        <v>1979</v>
      </c>
      <c r="E234" s="2">
        <f>Table1[[#This Row],[End year]]-Table1[[#This Row],[Starting year]]</f>
        <v>8</v>
      </c>
      <c r="F234" s="1">
        <v>15941</v>
      </c>
      <c r="G234" s="2" t="s">
        <v>372</v>
      </c>
      <c r="H234" s="2" t="str">
        <f>VLOOKUP(DATE(2023,MONTH(F234),DAY(F234)),Signs!A:C,3)</f>
        <v>Virgo</v>
      </c>
      <c r="I234" s="2">
        <v>8</v>
      </c>
    </row>
    <row r="235" spans="1:9" ht="29.25" customHeight="1" x14ac:dyDescent="0.25">
      <c r="A235" s="2" t="s">
        <v>274</v>
      </c>
      <c r="B235" s="2" t="s">
        <v>198</v>
      </c>
      <c r="C235" s="2">
        <v>1982</v>
      </c>
      <c r="D235" s="2">
        <v>1983</v>
      </c>
      <c r="E235" s="2">
        <f>Table1[[#This Row],[End year]]-Table1[[#This Row],[Starting year]]</f>
        <v>1</v>
      </c>
      <c r="F235" s="1">
        <v>17774</v>
      </c>
      <c r="G235" s="2" t="s">
        <v>372</v>
      </c>
      <c r="H235" s="2" t="str">
        <f>VLOOKUP(DATE(2023,MONTH(F235),DAY(F235)),Signs!A:C,3)</f>
        <v>Virgo</v>
      </c>
      <c r="I235" s="2">
        <v>8</v>
      </c>
    </row>
    <row r="236" spans="1:9" ht="29.25" customHeight="1" x14ac:dyDescent="0.25">
      <c r="A236" s="2" t="s">
        <v>275</v>
      </c>
      <c r="B236" s="2" t="s">
        <v>103</v>
      </c>
      <c r="C236" s="2">
        <v>1980</v>
      </c>
      <c r="D236" s="2">
        <v>1988</v>
      </c>
      <c r="E236" s="2">
        <f>Table1[[#This Row],[End year]]-Table1[[#This Row],[Starting year]]</f>
        <v>8</v>
      </c>
      <c r="F236" s="1">
        <v>17124</v>
      </c>
      <c r="G236" s="2" t="s">
        <v>372</v>
      </c>
      <c r="H236" s="2" t="str">
        <f>VLOOKUP(DATE(2023,MONTH(F236),DAY(F236)),Signs!A:C,3)</f>
        <v>Scorpio</v>
      </c>
      <c r="I236" s="2">
        <v>8</v>
      </c>
    </row>
    <row r="237" spans="1:9" ht="29.25" customHeight="1" x14ac:dyDescent="0.25">
      <c r="A237" s="2" t="s">
        <v>276</v>
      </c>
      <c r="B237" s="2" t="s">
        <v>18</v>
      </c>
      <c r="C237" s="2">
        <v>1984</v>
      </c>
      <c r="D237" s="2">
        <v>1984</v>
      </c>
      <c r="E237" s="2">
        <f>Table1[[#This Row],[End year]]-Table1[[#This Row],[Starting year]]</f>
        <v>0</v>
      </c>
      <c r="F237" s="1">
        <v>16509</v>
      </c>
      <c r="G237" s="2" t="s">
        <v>372</v>
      </c>
      <c r="H237" s="2" t="str">
        <f>VLOOKUP(DATE(2023,MONTH(F237),DAY(F237)),Signs!A:C,3)</f>
        <v>Pisces</v>
      </c>
      <c r="I237" s="2">
        <v>8</v>
      </c>
    </row>
    <row r="238" spans="1:9" ht="29.25" customHeight="1" x14ac:dyDescent="0.25">
      <c r="A238" s="2" t="s">
        <v>277</v>
      </c>
      <c r="B238" s="2" t="s">
        <v>18</v>
      </c>
      <c r="C238" s="2">
        <v>1918</v>
      </c>
      <c r="D238" s="2">
        <v>1919</v>
      </c>
      <c r="E238" s="2">
        <f>Table1[[#This Row],[End year]]-Table1[[#This Row],[Starting year]]</f>
        <v>1</v>
      </c>
      <c r="F238" s="1" t="s">
        <v>200</v>
      </c>
      <c r="G238" s="2" t="s">
        <v>374</v>
      </c>
      <c r="H238" s="4" t="s">
        <v>200</v>
      </c>
      <c r="I238" s="2">
        <v>8</v>
      </c>
    </row>
    <row r="239" spans="1:9" ht="29.25" customHeight="1" x14ac:dyDescent="0.25">
      <c r="A239" s="2" t="s">
        <v>278</v>
      </c>
      <c r="B239" s="2" t="s">
        <v>9</v>
      </c>
      <c r="C239" s="2">
        <v>1990</v>
      </c>
      <c r="D239" s="2">
        <v>1996</v>
      </c>
      <c r="E239" s="2">
        <f>Table1[[#This Row],[End year]]-Table1[[#This Row],[Starting year]]</f>
        <v>6</v>
      </c>
      <c r="F239" s="1">
        <v>18298</v>
      </c>
      <c r="G239" s="2" t="s">
        <v>372</v>
      </c>
      <c r="H239" s="2" t="str">
        <f>VLOOKUP(DATE(2023,MONTH(F239),DAY(F239)),Signs!A:C,3)</f>
        <v>Aquarius</v>
      </c>
      <c r="I239" s="2">
        <v>8</v>
      </c>
    </row>
    <row r="240" spans="1:9" ht="29.25" customHeight="1" x14ac:dyDescent="0.25">
      <c r="A240" s="2" t="s">
        <v>279</v>
      </c>
      <c r="B240" s="2" t="s">
        <v>26</v>
      </c>
      <c r="C240" s="2">
        <v>1965</v>
      </c>
      <c r="D240" s="2">
        <v>1987</v>
      </c>
      <c r="E240" s="2">
        <f>Table1[[#This Row],[End year]]-Table1[[#This Row],[Starting year]]</f>
        <v>22</v>
      </c>
      <c r="F240" s="1">
        <v>11669</v>
      </c>
      <c r="G240" s="2" t="s">
        <v>372</v>
      </c>
      <c r="H240" s="2" t="str">
        <f>VLOOKUP(DATE(2023,MONTH(F240),DAY(F240)),Signs!A:C,3)</f>
        <v>Sagittarius</v>
      </c>
      <c r="I240" s="2">
        <v>8</v>
      </c>
    </row>
    <row r="241" spans="1:9" ht="29.25" customHeight="1" x14ac:dyDescent="0.25">
      <c r="A241" s="2" t="s">
        <v>280</v>
      </c>
      <c r="B241" s="2" t="s">
        <v>26</v>
      </c>
      <c r="C241" s="2">
        <v>2010</v>
      </c>
      <c r="D241" s="2">
        <v>2017</v>
      </c>
      <c r="E241" s="2">
        <f>Table1[[#This Row],[End year]]-Table1[[#This Row],[Starting year]]</f>
        <v>7</v>
      </c>
      <c r="F241" s="1">
        <v>18909</v>
      </c>
      <c r="G241" s="2" t="s">
        <v>372</v>
      </c>
      <c r="H241" s="2" t="str">
        <f>VLOOKUP(DATE(2023,MONTH(F241),DAY(F241)),Signs!A:C,3)</f>
        <v>Libra</v>
      </c>
      <c r="I241" s="2">
        <v>8</v>
      </c>
    </row>
    <row r="242" spans="1:9" ht="29.25" customHeight="1" x14ac:dyDescent="0.25">
      <c r="A242" s="2" t="s">
        <v>281</v>
      </c>
      <c r="B242" s="2" t="s">
        <v>26</v>
      </c>
      <c r="C242" s="2">
        <v>2007</v>
      </c>
      <c r="D242" s="2">
        <v>2018</v>
      </c>
      <c r="E242" s="2">
        <f>Table1[[#This Row],[End year]]-Table1[[#This Row],[Starting year]]</f>
        <v>11</v>
      </c>
      <c r="F242" s="1">
        <v>24633</v>
      </c>
      <c r="G242" s="2" t="s">
        <v>373</v>
      </c>
      <c r="H242" s="2" t="str">
        <f>VLOOKUP(DATE(2023,MONTH(F242),DAY(F242)),Signs!A:C,3)</f>
        <v>Gemini</v>
      </c>
      <c r="I242" s="2">
        <v>8</v>
      </c>
    </row>
    <row r="243" spans="1:9" ht="29.25" customHeight="1" x14ac:dyDescent="0.25">
      <c r="A243" s="2" t="s">
        <v>282</v>
      </c>
      <c r="B243" s="2" t="s">
        <v>9</v>
      </c>
      <c r="C243" s="2">
        <v>1979</v>
      </c>
      <c r="D243" s="2">
        <v>1991</v>
      </c>
      <c r="E243" s="2">
        <f>Table1[[#This Row],[End year]]-Table1[[#This Row],[Starting year]]</f>
        <v>12</v>
      </c>
      <c r="F243" s="1">
        <v>19313</v>
      </c>
      <c r="G243" s="2" t="s">
        <v>372</v>
      </c>
      <c r="H243" s="2" t="str">
        <f>VLOOKUP(DATE(2023,MONTH(F243),DAY(F243)),Signs!A:C,3)</f>
        <v>Scorpio</v>
      </c>
      <c r="I243" s="2">
        <v>7</v>
      </c>
    </row>
    <row r="244" spans="1:9" ht="29.25" customHeight="1" x14ac:dyDescent="0.25">
      <c r="A244" s="2" t="s">
        <v>283</v>
      </c>
      <c r="B244" s="3" t="s">
        <v>123</v>
      </c>
      <c r="C244" s="3">
        <v>1964</v>
      </c>
      <c r="D244" s="3">
        <v>1971</v>
      </c>
      <c r="E244" s="2">
        <f>Table1[[#This Row],[End year]]-Table1[[#This Row],[Starting year]]</f>
        <v>7</v>
      </c>
      <c r="F244" s="1">
        <v>15731</v>
      </c>
      <c r="G244" s="2" t="s">
        <v>372</v>
      </c>
      <c r="H244" s="2" t="str">
        <f>VLOOKUP(DATE(2023,MONTH(F244),DAY(F244)),Signs!A:C,3)</f>
        <v>Aquarius</v>
      </c>
      <c r="I244" s="2">
        <v>7</v>
      </c>
    </row>
    <row r="245" spans="1:9" ht="29.25" customHeight="1" x14ac:dyDescent="0.25">
      <c r="A245" s="2" t="s">
        <v>284</v>
      </c>
      <c r="B245" s="2" t="s">
        <v>223</v>
      </c>
      <c r="C245" s="2">
        <v>1991</v>
      </c>
      <c r="D245" s="2">
        <v>1999</v>
      </c>
      <c r="E245" s="2">
        <f>Table1[[#This Row],[End year]]-Table1[[#This Row],[Starting year]]</f>
        <v>8</v>
      </c>
      <c r="F245" s="1" t="s">
        <v>200</v>
      </c>
      <c r="G245" s="2" t="s">
        <v>372</v>
      </c>
      <c r="H245" s="4" t="s">
        <v>200</v>
      </c>
      <c r="I245" s="2">
        <v>7</v>
      </c>
    </row>
    <row r="246" spans="1:9" ht="29.25" customHeight="1" x14ac:dyDescent="0.25">
      <c r="A246" s="2" t="s">
        <v>285</v>
      </c>
      <c r="B246" s="2" t="s">
        <v>203</v>
      </c>
      <c r="C246" s="2">
        <v>1989</v>
      </c>
      <c r="D246" s="2">
        <v>1992</v>
      </c>
      <c r="E246" s="2">
        <f>Table1[[#This Row],[End year]]-Table1[[#This Row],[Starting year]]</f>
        <v>3</v>
      </c>
      <c r="F246" s="1">
        <v>16433</v>
      </c>
      <c r="G246" s="2" t="s">
        <v>372</v>
      </c>
      <c r="H246" s="2" t="str">
        <f>VLOOKUP(DATE(2023,MONTH(F246),DAY(F246)),Signs!A:C,3)</f>
        <v>Capricorn</v>
      </c>
      <c r="I246" s="2">
        <v>7</v>
      </c>
    </row>
    <row r="247" spans="1:9" ht="29.25" customHeight="1" x14ac:dyDescent="0.25">
      <c r="A247" s="2" t="s">
        <v>286</v>
      </c>
      <c r="B247" s="3" t="s">
        <v>26</v>
      </c>
      <c r="C247" s="3">
        <v>1985</v>
      </c>
      <c r="D247" s="3">
        <v>2010</v>
      </c>
      <c r="E247" s="2">
        <f>Table1[[#This Row],[End year]]-Table1[[#This Row],[Starting year]]</f>
        <v>25</v>
      </c>
      <c r="F247" s="1">
        <v>23934</v>
      </c>
      <c r="G247" s="2" t="s">
        <v>372</v>
      </c>
      <c r="H247" s="2" t="str">
        <f>VLOOKUP(DATE(2023,MONTH(F247),DAY(F247)),Signs!A:C,3)</f>
        <v>Cancer</v>
      </c>
      <c r="I247" s="2">
        <v>7</v>
      </c>
    </row>
    <row r="248" spans="1:9" ht="29.25" customHeight="1" x14ac:dyDescent="0.25">
      <c r="A248" s="2" t="s">
        <v>287</v>
      </c>
      <c r="B248" s="2" t="s">
        <v>63</v>
      </c>
      <c r="C248" s="2">
        <v>1986</v>
      </c>
      <c r="D248" s="2">
        <v>1986</v>
      </c>
      <c r="E248" s="2">
        <f>Table1[[#This Row],[End year]]-Table1[[#This Row],[Starting year]]</f>
        <v>0</v>
      </c>
      <c r="F248" s="1">
        <v>23193</v>
      </c>
      <c r="G248" s="2" t="s">
        <v>372</v>
      </c>
      <c r="H248" s="2" t="str">
        <f>VLOOKUP(DATE(2023,MONTH(F248),DAY(F248)),Signs!A:C,3)</f>
        <v>Cancer</v>
      </c>
      <c r="I248" s="2">
        <v>7</v>
      </c>
    </row>
    <row r="249" spans="1:9" ht="29.25" customHeight="1" x14ac:dyDescent="0.25">
      <c r="A249" s="2" t="s">
        <v>288</v>
      </c>
      <c r="B249" s="2" t="s">
        <v>18</v>
      </c>
      <c r="C249" s="2">
        <v>1979</v>
      </c>
      <c r="D249" s="2">
        <v>1981</v>
      </c>
      <c r="E249" s="2">
        <f>Table1[[#This Row],[End year]]-Table1[[#This Row],[Starting year]]</f>
        <v>2</v>
      </c>
      <c r="F249" s="1">
        <v>11084</v>
      </c>
      <c r="G249" s="2" t="s">
        <v>372</v>
      </c>
      <c r="H249" s="2" t="str">
        <f>VLOOKUP(DATE(2023,MONTH(F249),DAY(F249)),Signs!A:C,3)</f>
        <v>Taurus</v>
      </c>
      <c r="I249" s="2">
        <v>7</v>
      </c>
    </row>
    <row r="250" spans="1:9" ht="29.25" customHeight="1" x14ac:dyDescent="0.25">
      <c r="A250" s="2" t="s">
        <v>289</v>
      </c>
      <c r="B250" s="2" t="s">
        <v>9</v>
      </c>
      <c r="C250" s="2">
        <v>1997</v>
      </c>
      <c r="D250" s="2">
        <v>1997</v>
      </c>
      <c r="E250" s="2">
        <f>Table1[[#This Row],[End year]]-Table1[[#This Row],[Starting year]]</f>
        <v>0</v>
      </c>
      <c r="F250" s="1">
        <v>23999</v>
      </c>
      <c r="G250" s="2" t="s">
        <v>372</v>
      </c>
      <c r="H250" s="2" t="str">
        <f>VLOOKUP(DATE(2023,MONTH(F250),DAY(F250)),Signs!A:C,3)</f>
        <v>Virgo</v>
      </c>
      <c r="I250" s="2">
        <v>7</v>
      </c>
    </row>
    <row r="251" spans="1:9" ht="29.25" customHeight="1" x14ac:dyDescent="0.25">
      <c r="A251" s="2" t="s">
        <v>290</v>
      </c>
      <c r="B251" s="2" t="s">
        <v>103</v>
      </c>
      <c r="C251" s="2">
        <v>1960</v>
      </c>
      <c r="D251" s="2">
        <v>1980</v>
      </c>
      <c r="E251" s="2">
        <f>Table1[[#This Row],[End year]]-Table1[[#This Row],[Starting year]]</f>
        <v>20</v>
      </c>
      <c r="F251" s="1">
        <v>12549</v>
      </c>
      <c r="G251" s="2" t="s">
        <v>372</v>
      </c>
      <c r="H251" s="2" t="str">
        <f>VLOOKUP(DATE(2023,MONTH(F251),DAY(F251)),Signs!A:C,3)</f>
        <v>Taurus</v>
      </c>
      <c r="I251" s="2">
        <v>7</v>
      </c>
    </row>
    <row r="252" spans="1:9" ht="29.25" customHeight="1" x14ac:dyDescent="0.25">
      <c r="A252" s="2" t="s">
        <v>291</v>
      </c>
      <c r="B252" s="2" t="s">
        <v>18</v>
      </c>
      <c r="C252" s="2">
        <v>2003</v>
      </c>
      <c r="D252" s="2">
        <v>2016</v>
      </c>
      <c r="E252" s="2">
        <f>Table1[[#This Row],[End year]]-Table1[[#This Row],[Starting year]]</f>
        <v>13</v>
      </c>
      <c r="F252" s="1">
        <v>25999</v>
      </c>
      <c r="G252" s="2" t="s">
        <v>372</v>
      </c>
      <c r="H252" s="2" t="str">
        <f>VLOOKUP(DATE(2023,MONTH(F252),DAY(F252)),Signs!A:C,3)</f>
        <v>Pisces</v>
      </c>
      <c r="I252" s="2">
        <v>7</v>
      </c>
    </row>
    <row r="253" spans="1:9" ht="29.25" customHeight="1" x14ac:dyDescent="0.25">
      <c r="A253" s="2" t="s">
        <v>292</v>
      </c>
      <c r="B253" s="2" t="s">
        <v>18</v>
      </c>
      <c r="C253" s="2">
        <v>1981</v>
      </c>
      <c r="D253" s="2">
        <v>2004</v>
      </c>
      <c r="E253" s="2">
        <f>Table1[[#This Row],[End year]]-Table1[[#This Row],[Starting year]]</f>
        <v>23</v>
      </c>
      <c r="F253" s="1" t="s">
        <v>200</v>
      </c>
      <c r="G253" s="2" t="s">
        <v>374</v>
      </c>
      <c r="H253" s="2" t="s">
        <v>200</v>
      </c>
      <c r="I253" s="2">
        <v>7</v>
      </c>
    </row>
    <row r="254" spans="1:9" ht="29.25" customHeight="1" x14ac:dyDescent="0.25">
      <c r="A254" s="2" t="s">
        <v>293</v>
      </c>
      <c r="B254" s="2" t="s">
        <v>18</v>
      </c>
      <c r="C254" s="2">
        <v>2002</v>
      </c>
      <c r="D254" s="2">
        <v>2002</v>
      </c>
      <c r="E254" s="2">
        <f>Table1[[#This Row],[End year]]-Table1[[#This Row],[Starting year]]</f>
        <v>0</v>
      </c>
      <c r="F254" s="1">
        <v>25147</v>
      </c>
      <c r="G254" s="2" t="s">
        <v>372</v>
      </c>
      <c r="H254" s="2" t="str">
        <f>VLOOKUP(DATE(2023,MONTH(F254),DAY(F254)),Signs!A:C,3)</f>
        <v>Scorpio</v>
      </c>
      <c r="I254" s="2">
        <v>7</v>
      </c>
    </row>
    <row r="255" spans="1:9" ht="29.25" customHeight="1" x14ac:dyDescent="0.25">
      <c r="A255" s="2" t="s">
        <v>294</v>
      </c>
      <c r="B255" s="2" t="s">
        <v>55</v>
      </c>
      <c r="C255" s="2">
        <v>2002</v>
      </c>
      <c r="D255" s="2">
        <v>2018</v>
      </c>
      <c r="E255" s="2">
        <f>Table1[[#This Row],[End year]]-Table1[[#This Row],[Starting year]]</f>
        <v>16</v>
      </c>
      <c r="F255" s="1" t="s">
        <v>200</v>
      </c>
      <c r="G255" s="2" t="s">
        <v>372</v>
      </c>
      <c r="H255" s="4" t="s">
        <v>200</v>
      </c>
      <c r="I255" s="2">
        <v>7</v>
      </c>
    </row>
    <row r="256" spans="1:9" ht="29.25" customHeight="1" x14ac:dyDescent="0.25">
      <c r="A256" s="2" t="s">
        <v>295</v>
      </c>
      <c r="B256" s="2" t="s">
        <v>18</v>
      </c>
      <c r="C256" s="2">
        <v>1989</v>
      </c>
      <c r="D256" s="2">
        <v>1990</v>
      </c>
      <c r="E256" s="2">
        <f>Table1[[#This Row],[End year]]-Table1[[#This Row],[Starting year]]</f>
        <v>1</v>
      </c>
      <c r="F256" s="1">
        <v>20514</v>
      </c>
      <c r="G256" s="2" t="s">
        <v>373</v>
      </c>
      <c r="H256" s="2" t="str">
        <f>VLOOKUP(DATE(2023,MONTH(F256),DAY(F256)),Signs!A:C,3)</f>
        <v>Pisces</v>
      </c>
      <c r="I256" s="2">
        <v>7</v>
      </c>
    </row>
    <row r="257" spans="1:9" ht="29.25" customHeight="1" x14ac:dyDescent="0.25">
      <c r="A257" s="2" t="s">
        <v>296</v>
      </c>
      <c r="B257" s="2" t="s">
        <v>297</v>
      </c>
      <c r="C257" s="2">
        <v>2016</v>
      </c>
      <c r="D257" s="2">
        <v>2018</v>
      </c>
      <c r="E257" s="2">
        <f>Table1[[#This Row],[End year]]-Table1[[#This Row],[Starting year]]</f>
        <v>2</v>
      </c>
      <c r="F257" s="1" t="s">
        <v>200</v>
      </c>
      <c r="G257" s="2" t="s">
        <v>372</v>
      </c>
      <c r="H257" s="4" t="s">
        <v>200</v>
      </c>
      <c r="I257" s="2">
        <v>7</v>
      </c>
    </row>
    <row r="258" spans="1:9" ht="29.25" customHeight="1" x14ac:dyDescent="0.25">
      <c r="A258" s="2" t="s">
        <v>298</v>
      </c>
      <c r="B258" s="2" t="s">
        <v>18</v>
      </c>
      <c r="C258" s="2">
        <v>1976</v>
      </c>
      <c r="D258" s="2">
        <v>1977</v>
      </c>
      <c r="E258" s="2">
        <f>Table1[[#This Row],[End year]]-Table1[[#This Row],[Starting year]]</f>
        <v>1</v>
      </c>
      <c r="F258" s="1">
        <v>19511</v>
      </c>
      <c r="G258" s="2" t="s">
        <v>372</v>
      </c>
      <c r="H258" s="2" t="str">
        <f>VLOOKUP(DATE(2023,MONTH(F258),DAY(F258)),Signs!A:C,3)</f>
        <v>Gemini</v>
      </c>
      <c r="I258" s="2">
        <v>6</v>
      </c>
    </row>
    <row r="259" spans="1:9" ht="29.25" customHeight="1" x14ac:dyDescent="0.25">
      <c r="A259" s="2" t="s">
        <v>299</v>
      </c>
      <c r="B259" s="2" t="s">
        <v>18</v>
      </c>
      <c r="C259" s="2">
        <v>1977</v>
      </c>
      <c r="D259" s="2">
        <v>1978</v>
      </c>
      <c r="E259" s="2">
        <f>Table1[[#This Row],[End year]]-Table1[[#This Row],[Starting year]]</f>
        <v>1</v>
      </c>
      <c r="F259" s="1">
        <v>18406</v>
      </c>
      <c r="G259" s="2" t="s">
        <v>372</v>
      </c>
      <c r="H259" s="2" t="str">
        <f>VLOOKUP(DATE(2023,MONTH(F259),DAY(F259)),Signs!A:C,3)</f>
        <v>Gemini</v>
      </c>
      <c r="I259" s="2">
        <v>6</v>
      </c>
    </row>
    <row r="260" spans="1:9" ht="29.25" customHeight="1" x14ac:dyDescent="0.25">
      <c r="A260" s="2" t="s">
        <v>300</v>
      </c>
      <c r="B260" s="2" t="s">
        <v>18</v>
      </c>
      <c r="C260" s="2">
        <v>1980</v>
      </c>
      <c r="D260" s="2">
        <v>1999</v>
      </c>
      <c r="E260" s="2">
        <f>Table1[[#This Row],[End year]]-Table1[[#This Row],[Starting year]]</f>
        <v>19</v>
      </c>
      <c r="F260" s="1">
        <v>23556</v>
      </c>
      <c r="G260" s="2" t="s">
        <v>372</v>
      </c>
      <c r="H260" s="2" t="str">
        <f>VLOOKUP(DATE(2023,MONTH(F260),DAY(F260)),Signs!A:C,3)</f>
        <v>Cancer</v>
      </c>
      <c r="I260" s="2">
        <v>6</v>
      </c>
    </row>
    <row r="261" spans="1:9" ht="29.25" customHeight="1" x14ac:dyDescent="0.25">
      <c r="A261" s="2" t="s">
        <v>338</v>
      </c>
      <c r="B261" s="2" t="s">
        <v>148</v>
      </c>
      <c r="C261" s="2">
        <v>1943</v>
      </c>
      <c r="D261" s="2">
        <v>1955</v>
      </c>
      <c r="E261" s="2">
        <f>Table1[[#This Row],[End year]]-Table1[[#This Row],[Starting year]]</f>
        <v>12</v>
      </c>
      <c r="F261" s="1">
        <v>4049</v>
      </c>
      <c r="G261" s="2" t="s">
        <v>372</v>
      </c>
      <c r="H261" s="2" t="str">
        <f>VLOOKUP(DATE(2023,MONTH(F261),DAY(F261)),Signs!A:C,3)</f>
        <v>Aquarius</v>
      </c>
      <c r="I261" s="2">
        <v>6</v>
      </c>
    </row>
    <row r="262" spans="1:9" ht="29.25" customHeight="1" x14ac:dyDescent="0.25">
      <c r="A262" s="2" t="s">
        <v>301</v>
      </c>
      <c r="B262" s="2" t="s">
        <v>16</v>
      </c>
      <c r="C262" s="2">
        <v>2005</v>
      </c>
      <c r="D262" s="2">
        <v>2006</v>
      </c>
      <c r="E262" s="2">
        <f>Table1[[#This Row],[End year]]-Table1[[#This Row],[Starting year]]</f>
        <v>1</v>
      </c>
      <c r="F262" s="1">
        <v>26851</v>
      </c>
      <c r="G262" s="2" t="s">
        <v>372</v>
      </c>
      <c r="H262" s="2" t="str">
        <f>VLOOKUP(DATE(2023,MONTH(F262),DAY(F262)),Signs!A:C,3)</f>
        <v>Cancer</v>
      </c>
      <c r="I262" s="2">
        <v>6</v>
      </c>
    </row>
    <row r="263" spans="1:9" ht="29.25" customHeight="1" x14ac:dyDescent="0.25">
      <c r="A263" s="2" t="s">
        <v>302</v>
      </c>
      <c r="B263" s="2" t="s">
        <v>55</v>
      </c>
      <c r="C263" s="2">
        <v>1990</v>
      </c>
      <c r="D263" s="2">
        <v>2015</v>
      </c>
      <c r="E263" s="2">
        <f>Table1[[#This Row],[End year]]-Table1[[#This Row],[Starting year]]</f>
        <v>25</v>
      </c>
      <c r="F263" s="1" t="s">
        <v>200</v>
      </c>
      <c r="G263" s="2" t="s">
        <v>372</v>
      </c>
      <c r="H263" s="4" t="s">
        <v>200</v>
      </c>
      <c r="I263" s="2">
        <v>6</v>
      </c>
    </row>
    <row r="264" spans="1:9" ht="29.25" customHeight="1" x14ac:dyDescent="0.25">
      <c r="A264" s="2" t="s">
        <v>303</v>
      </c>
      <c r="B264" s="2" t="s">
        <v>226</v>
      </c>
      <c r="C264" s="2">
        <v>1986</v>
      </c>
      <c r="D264" s="2">
        <v>1990</v>
      </c>
      <c r="E264" s="2">
        <f>Table1[[#This Row],[End year]]-Table1[[#This Row],[Starting year]]</f>
        <v>4</v>
      </c>
      <c r="F264" s="1">
        <v>10014</v>
      </c>
      <c r="G264" s="2" t="s">
        <v>372</v>
      </c>
      <c r="H264" s="2" t="str">
        <f>VLOOKUP(DATE(2023,MONTH(F264),DAY(F264)),Signs!A:C,3)</f>
        <v>Gemini</v>
      </c>
      <c r="I264" s="2">
        <v>6</v>
      </c>
    </row>
    <row r="265" spans="1:9" ht="29.25" customHeight="1" x14ac:dyDescent="0.25">
      <c r="A265" s="2" t="s">
        <v>304</v>
      </c>
      <c r="B265" s="2" t="s">
        <v>203</v>
      </c>
      <c r="C265" s="2">
        <v>1989</v>
      </c>
      <c r="D265" s="2">
        <v>1990</v>
      </c>
      <c r="E265" s="2">
        <f>Table1[[#This Row],[End year]]-Table1[[#This Row],[Starting year]]</f>
        <v>1</v>
      </c>
      <c r="F265" s="1">
        <v>12019</v>
      </c>
      <c r="G265" s="2" t="s">
        <v>372</v>
      </c>
      <c r="H265" s="2" t="str">
        <f>VLOOKUP(DATE(2023,MONTH(F265),DAY(F265)),Signs!A:C,3)</f>
        <v>Sagittarius</v>
      </c>
      <c r="I265" s="2">
        <v>6</v>
      </c>
    </row>
    <row r="266" spans="1:9" ht="29.25" customHeight="1" x14ac:dyDescent="0.25">
      <c r="A266" s="2" t="s">
        <v>305</v>
      </c>
      <c r="B266" s="2" t="s">
        <v>306</v>
      </c>
      <c r="C266" s="2">
        <v>2000</v>
      </c>
      <c r="D266" s="2">
        <v>2006</v>
      </c>
      <c r="E266" s="2">
        <f>Table1[[#This Row],[End year]]-Table1[[#This Row],[Starting year]]</f>
        <v>6</v>
      </c>
      <c r="F266" s="1" t="s">
        <v>200</v>
      </c>
      <c r="G266" s="2" t="s">
        <v>372</v>
      </c>
      <c r="H266" s="4" t="s">
        <v>200</v>
      </c>
      <c r="I266" s="2">
        <v>6</v>
      </c>
    </row>
    <row r="267" spans="1:9" ht="29.25" customHeight="1" x14ac:dyDescent="0.25">
      <c r="A267" s="2" t="s">
        <v>307</v>
      </c>
      <c r="B267" s="2" t="s">
        <v>93</v>
      </c>
      <c r="C267" s="2">
        <v>2014</v>
      </c>
      <c r="D267" s="2">
        <v>2015</v>
      </c>
      <c r="E267" s="2">
        <f>Table1[[#This Row],[End year]]-Table1[[#This Row],[Starting year]]</f>
        <v>1</v>
      </c>
      <c r="F267" s="1" t="s">
        <v>200</v>
      </c>
      <c r="G267" s="2" t="s">
        <v>372</v>
      </c>
      <c r="H267" s="4" t="s">
        <v>200</v>
      </c>
      <c r="I267" s="2">
        <v>6</v>
      </c>
    </row>
    <row r="268" spans="1:9" ht="29.25" customHeight="1" x14ac:dyDescent="0.25">
      <c r="A268" s="2" t="s">
        <v>308</v>
      </c>
      <c r="B268" s="2" t="s">
        <v>18</v>
      </c>
      <c r="C268" s="2">
        <v>1977</v>
      </c>
      <c r="D268" s="2">
        <v>1994</v>
      </c>
      <c r="E268" s="2">
        <f>Table1[[#This Row],[End year]]-Table1[[#This Row],[Starting year]]</f>
        <v>17</v>
      </c>
      <c r="F268" s="1">
        <v>12426</v>
      </c>
      <c r="G268" s="2" t="s">
        <v>372</v>
      </c>
      <c r="H268" s="2" t="str">
        <f>VLOOKUP(DATE(2023,MONTH(F268),DAY(F268)),Signs!A:C,3)</f>
        <v>Capricorn</v>
      </c>
      <c r="I268" s="2">
        <v>6</v>
      </c>
    </row>
    <row r="269" spans="1:9" ht="29.25" customHeight="1" x14ac:dyDescent="0.25">
      <c r="A269" s="2" t="s">
        <v>309</v>
      </c>
      <c r="B269" s="2" t="s">
        <v>18</v>
      </c>
      <c r="C269" s="2">
        <v>1978</v>
      </c>
      <c r="D269" s="2">
        <v>2002</v>
      </c>
      <c r="E269" s="2">
        <f>Table1[[#This Row],[End year]]-Table1[[#This Row],[Starting year]]</f>
        <v>24</v>
      </c>
      <c r="F269" s="1">
        <v>16063</v>
      </c>
      <c r="G269" s="2" t="s">
        <v>372</v>
      </c>
      <c r="H269" s="2" t="str">
        <f>VLOOKUP(DATE(2023,MONTH(F269),DAY(F269)),Signs!A:C,3)</f>
        <v>Capricorn</v>
      </c>
      <c r="I269" s="2">
        <v>6</v>
      </c>
    </row>
    <row r="270" spans="1:9" ht="29.25" customHeight="1" x14ac:dyDescent="0.25">
      <c r="A270" s="2" t="s">
        <v>310</v>
      </c>
      <c r="B270" s="2" t="s">
        <v>18</v>
      </c>
      <c r="C270" s="2">
        <v>1977</v>
      </c>
      <c r="D270" s="2">
        <v>1980</v>
      </c>
      <c r="E270" s="2">
        <f>Table1[[#This Row],[End year]]-Table1[[#This Row],[Starting year]]</f>
        <v>3</v>
      </c>
      <c r="F270" s="1">
        <v>17131</v>
      </c>
      <c r="G270" s="2" t="s">
        <v>372</v>
      </c>
      <c r="H270" s="2" t="str">
        <f>VLOOKUP(DATE(2023,MONTH(F270),DAY(F270)),Signs!A:C,3)</f>
        <v>Sagittarius</v>
      </c>
      <c r="I270" s="2">
        <v>5</v>
      </c>
    </row>
    <row r="271" spans="1:9" ht="29.25" customHeight="1" x14ac:dyDescent="0.25">
      <c r="A271" s="2" t="s">
        <v>311</v>
      </c>
      <c r="B271" s="2" t="s">
        <v>18</v>
      </c>
      <c r="C271" s="2">
        <v>1962</v>
      </c>
      <c r="D271" s="2">
        <v>1977</v>
      </c>
      <c r="E271" s="2">
        <f>Table1[[#This Row],[End year]]-Table1[[#This Row],[Starting year]]</f>
        <v>15</v>
      </c>
      <c r="F271" s="1" t="s">
        <v>200</v>
      </c>
      <c r="G271" s="2" t="s">
        <v>374</v>
      </c>
      <c r="H271" s="4" t="s">
        <v>200</v>
      </c>
      <c r="I271" s="2">
        <v>5</v>
      </c>
    </row>
    <row r="272" spans="1:9" ht="29.25" customHeight="1" x14ac:dyDescent="0.25">
      <c r="A272" s="2" t="s">
        <v>312</v>
      </c>
      <c r="B272" s="2" t="s">
        <v>18</v>
      </c>
      <c r="C272" s="2">
        <v>1957</v>
      </c>
      <c r="D272" s="2">
        <v>2009</v>
      </c>
      <c r="E272" s="2">
        <f>Table1[[#This Row],[End year]]-Table1[[#This Row],[Starting year]]</f>
        <v>52</v>
      </c>
      <c r="F272" s="1">
        <v>13357</v>
      </c>
      <c r="G272" s="2" t="s">
        <v>372</v>
      </c>
      <c r="H272" s="2" t="str">
        <f>VLOOKUP(DATE(2023,MONTH(F272),DAY(F272)),Signs!A:C,3)</f>
        <v>Leo</v>
      </c>
      <c r="I272" s="2">
        <v>5</v>
      </c>
    </row>
    <row r="273" spans="1:9" ht="29.25" customHeight="1" x14ac:dyDescent="0.25">
      <c r="A273" s="2" t="s">
        <v>313</v>
      </c>
      <c r="B273" s="3" t="s">
        <v>18</v>
      </c>
      <c r="C273" s="3">
        <v>1915</v>
      </c>
      <c r="D273" s="3">
        <v>1929</v>
      </c>
      <c r="E273" s="2">
        <f>Table1[[#This Row],[End year]]-Table1[[#This Row],[Starting year]]</f>
        <v>14</v>
      </c>
      <c r="F273" s="1">
        <v>45105</v>
      </c>
      <c r="G273" s="2" t="s">
        <v>372</v>
      </c>
      <c r="H273" s="2" t="str">
        <f>VLOOKUP(DATE(2023,MONTH(F273),DAY(F273)),Signs!A:C,3)</f>
        <v>Cancer</v>
      </c>
      <c r="I273" s="2">
        <v>5</v>
      </c>
    </row>
    <row r="274" spans="1:9" ht="29.25" customHeight="1" x14ac:dyDescent="0.25">
      <c r="A274" s="2" t="s">
        <v>314</v>
      </c>
      <c r="B274" s="2" t="s">
        <v>63</v>
      </c>
      <c r="C274" s="2">
        <v>2006</v>
      </c>
      <c r="D274" s="2">
        <v>2006</v>
      </c>
      <c r="E274" s="2">
        <f>Table1[[#This Row],[End year]]-Table1[[#This Row],[Starting year]]</f>
        <v>0</v>
      </c>
      <c r="F274" s="1">
        <v>19962</v>
      </c>
      <c r="G274" s="2" t="s">
        <v>372</v>
      </c>
      <c r="H274" s="2" t="str">
        <f>VLOOKUP(DATE(2023,MONTH(F274),DAY(F274)),Signs!A:C,3)</f>
        <v>Virgo</v>
      </c>
      <c r="I274" s="2">
        <v>5</v>
      </c>
    </row>
    <row r="275" spans="1:9" ht="29.25" customHeight="1" x14ac:dyDescent="0.25">
      <c r="A275" s="2" t="s">
        <v>315</v>
      </c>
      <c r="B275" s="3" t="s">
        <v>382</v>
      </c>
      <c r="C275" s="3">
        <v>1981</v>
      </c>
      <c r="D275" s="3">
        <v>1987</v>
      </c>
      <c r="E275" s="2">
        <f>Table1[[#This Row],[End year]]-Table1[[#This Row],[Starting year]]</f>
        <v>6</v>
      </c>
      <c r="F275" s="1">
        <v>21609</v>
      </c>
      <c r="G275" s="2" t="s">
        <v>372</v>
      </c>
      <c r="H275" s="2" t="str">
        <f>VLOOKUP(DATE(2023,MONTH(F275),DAY(F275)),Signs!A:C,3)</f>
        <v>Pisces</v>
      </c>
      <c r="I275" s="2">
        <v>5</v>
      </c>
    </row>
    <row r="276" spans="1:9" ht="29.25" customHeight="1" x14ac:dyDescent="0.25">
      <c r="A276" s="2" t="s">
        <v>339</v>
      </c>
      <c r="B276" s="2" t="s">
        <v>316</v>
      </c>
      <c r="C276" s="2">
        <v>1948</v>
      </c>
      <c r="D276" s="2">
        <v>1951</v>
      </c>
      <c r="E276" s="2">
        <f>Table1[[#This Row],[End year]]-Table1[[#This Row],[Starting year]]</f>
        <v>3</v>
      </c>
      <c r="F276" s="1">
        <v>45213</v>
      </c>
      <c r="G276" s="2" t="s">
        <v>372</v>
      </c>
      <c r="H276" s="2" t="str">
        <f>VLOOKUP(DATE(2023,MONTH(F276),DAY(F276)),Signs!A:C,3)</f>
        <v>Libra</v>
      </c>
      <c r="I276" s="2">
        <v>5</v>
      </c>
    </row>
    <row r="277" spans="1:9" ht="29.25" customHeight="1" x14ac:dyDescent="0.25">
      <c r="A277" s="2" t="s">
        <v>317</v>
      </c>
      <c r="B277" s="2" t="s">
        <v>18</v>
      </c>
      <c r="C277" s="2">
        <v>1989</v>
      </c>
      <c r="D277" s="2">
        <v>1992</v>
      </c>
      <c r="E277" s="2">
        <f>Table1[[#This Row],[End year]]-Table1[[#This Row],[Starting year]]</f>
        <v>3</v>
      </c>
      <c r="F277" s="1">
        <v>18453</v>
      </c>
      <c r="G277" s="2" t="s">
        <v>372</v>
      </c>
      <c r="H277" s="2" t="str">
        <f>VLOOKUP(DATE(2023,MONTH(F277),DAY(F277)),Signs!A:C,3)</f>
        <v>Cancer</v>
      </c>
      <c r="I277" s="2">
        <v>5</v>
      </c>
    </row>
    <row r="278" spans="1:9" ht="29.25" customHeight="1" x14ac:dyDescent="0.25">
      <c r="A278" s="2" t="s">
        <v>318</v>
      </c>
      <c r="B278" s="2" t="s">
        <v>18</v>
      </c>
      <c r="C278" s="2">
        <v>1976</v>
      </c>
      <c r="D278" s="2">
        <v>1996</v>
      </c>
      <c r="E278" s="2">
        <f>Table1[[#This Row],[End year]]-Table1[[#This Row],[Starting year]]</f>
        <v>20</v>
      </c>
      <c r="F278" s="1">
        <v>20150</v>
      </c>
      <c r="G278" s="2" t="s">
        <v>372</v>
      </c>
      <c r="H278" s="2" t="str">
        <f>VLOOKUP(DATE(2023,MONTH(F278),DAY(F278)),Signs!A:C,3)</f>
        <v>Pisces</v>
      </c>
      <c r="I278" s="2">
        <v>5</v>
      </c>
    </row>
    <row r="279" spans="1:9" ht="29.25" customHeight="1" x14ac:dyDescent="0.25">
      <c r="A279" s="2" t="s">
        <v>319</v>
      </c>
      <c r="B279" s="2" t="s">
        <v>320</v>
      </c>
      <c r="C279" s="2">
        <v>1981</v>
      </c>
      <c r="D279" s="2">
        <v>1983</v>
      </c>
      <c r="E279" s="2">
        <f>Table1[[#This Row],[End year]]-Table1[[#This Row],[Starting year]]</f>
        <v>2</v>
      </c>
      <c r="F279" s="1" t="s">
        <v>200</v>
      </c>
      <c r="G279" s="2" t="s">
        <v>372</v>
      </c>
      <c r="H279" s="4" t="s">
        <v>200</v>
      </c>
      <c r="I279" s="2">
        <v>5</v>
      </c>
    </row>
    <row r="280" spans="1:9" ht="29.25" customHeight="1" x14ac:dyDescent="0.25">
      <c r="A280" s="2" t="s">
        <v>340</v>
      </c>
      <c r="B280" s="2" t="s">
        <v>18</v>
      </c>
      <c r="C280" s="2">
        <v>1971</v>
      </c>
      <c r="D280" s="2">
        <v>2004</v>
      </c>
      <c r="E280" s="2">
        <f>Table1[[#This Row],[End year]]-Table1[[#This Row],[Starting year]]</f>
        <v>33</v>
      </c>
      <c r="F280" s="1">
        <v>20874</v>
      </c>
      <c r="G280" s="2" t="s">
        <v>372</v>
      </c>
      <c r="H280" s="2" t="str">
        <f>VLOOKUP(DATE(2023,MONTH(F280),DAY(F280)),Signs!A:C,3)</f>
        <v>Pisces</v>
      </c>
      <c r="I280" s="2">
        <v>4</v>
      </c>
    </row>
    <row r="281" spans="1:9" ht="29.25" customHeight="1" x14ac:dyDescent="0.25">
      <c r="A281" s="2" t="s">
        <v>341</v>
      </c>
      <c r="B281" s="3" t="s">
        <v>63</v>
      </c>
      <c r="C281" s="3">
        <v>1981</v>
      </c>
      <c r="D281" s="3">
        <v>1986</v>
      </c>
      <c r="E281" s="2">
        <f>Table1[[#This Row],[End year]]-Table1[[#This Row],[Starting year]]</f>
        <v>5</v>
      </c>
      <c r="F281" s="1">
        <v>17278</v>
      </c>
      <c r="G281" s="2" t="s">
        <v>372</v>
      </c>
      <c r="H281" s="2" t="str">
        <f>VLOOKUP(DATE(2023,MONTH(F281),DAY(F281)),Signs!A:C,3)</f>
        <v>Taurus</v>
      </c>
      <c r="I281" s="2">
        <v>4</v>
      </c>
    </row>
    <row r="282" spans="1:9" ht="29.25" customHeight="1" x14ac:dyDescent="0.25">
      <c r="A282" s="2" t="s">
        <v>342</v>
      </c>
      <c r="B282" s="2" t="s">
        <v>343</v>
      </c>
      <c r="C282" s="2">
        <v>1946</v>
      </c>
      <c r="D282" s="2">
        <v>1958</v>
      </c>
      <c r="E282" s="2">
        <f>Table1[[#This Row],[End year]]-Table1[[#This Row],[Starting year]]</f>
        <v>12</v>
      </c>
      <c r="F282" s="1">
        <v>6580</v>
      </c>
      <c r="G282" s="2" t="s">
        <v>372</v>
      </c>
      <c r="H282" s="2" t="str">
        <f>VLOOKUP(DATE(2023,MONTH(F282),DAY(F282)),Signs!A:C,3)</f>
        <v>Capricorn</v>
      </c>
      <c r="I282" s="2">
        <v>4</v>
      </c>
    </row>
    <row r="283" spans="1:9" ht="29.25" customHeight="1" x14ac:dyDescent="0.25">
      <c r="A283" s="2" t="s">
        <v>344</v>
      </c>
      <c r="B283" s="2" t="s">
        <v>20</v>
      </c>
      <c r="C283" s="2">
        <v>1944</v>
      </c>
      <c r="D283" s="2">
        <v>1949</v>
      </c>
      <c r="E283" s="2">
        <f>Table1[[#This Row],[End year]]-Table1[[#This Row],[Starting year]]</f>
        <v>5</v>
      </c>
      <c r="F283" s="1">
        <v>2315</v>
      </c>
      <c r="G283" s="2" t="s">
        <v>372</v>
      </c>
      <c r="H283" s="2" t="str">
        <f>VLOOKUP(DATE(2023,MONTH(F283),DAY(F283)),Signs!A:C,3)</f>
        <v>Taurus</v>
      </c>
      <c r="I283" s="2">
        <v>4</v>
      </c>
    </row>
    <row r="284" spans="1:9" ht="29.25" customHeight="1" x14ac:dyDescent="0.25">
      <c r="A284" s="2" t="s">
        <v>345</v>
      </c>
      <c r="B284" s="2" t="s">
        <v>31</v>
      </c>
      <c r="C284" s="2">
        <v>1993</v>
      </c>
      <c r="D284" s="2">
        <v>2010</v>
      </c>
      <c r="E284" s="2">
        <f>Table1[[#This Row],[End year]]-Table1[[#This Row],[Starting year]]</f>
        <v>17</v>
      </c>
      <c r="F284" s="1" t="s">
        <v>200</v>
      </c>
      <c r="G284" s="2" t="s">
        <v>372</v>
      </c>
      <c r="H284" s="1" t="s">
        <v>200</v>
      </c>
      <c r="I284" s="2">
        <v>4</v>
      </c>
    </row>
    <row r="285" spans="1:9" ht="29.25" customHeight="1" x14ac:dyDescent="0.25">
      <c r="A285" s="2" t="s">
        <v>346</v>
      </c>
      <c r="B285" s="2" t="s">
        <v>9</v>
      </c>
      <c r="C285" s="2">
        <v>1985</v>
      </c>
      <c r="D285" s="2">
        <v>1986</v>
      </c>
      <c r="E285" s="2">
        <f>Table1[[#This Row],[End year]]-Table1[[#This Row],[Starting year]]</f>
        <v>1</v>
      </c>
      <c r="F285" s="1" t="s">
        <v>200</v>
      </c>
      <c r="G285" s="2" t="s">
        <v>372</v>
      </c>
      <c r="H285" s="1" t="s">
        <v>200</v>
      </c>
      <c r="I285" s="2">
        <v>4</v>
      </c>
    </row>
    <row r="286" spans="1:9" ht="29.25" customHeight="1" x14ac:dyDescent="0.25">
      <c r="A286" s="2" t="s">
        <v>347</v>
      </c>
      <c r="B286" s="2" t="s">
        <v>18</v>
      </c>
      <c r="C286" s="2">
        <v>1985</v>
      </c>
      <c r="D286" s="2">
        <v>1986</v>
      </c>
      <c r="E286" s="2">
        <f>Table1[[#This Row],[End year]]-Table1[[#This Row],[Starting year]]</f>
        <v>1</v>
      </c>
      <c r="F286" s="1">
        <v>22277</v>
      </c>
      <c r="G286" s="2" t="s">
        <v>372</v>
      </c>
      <c r="H286" s="2" t="str">
        <f>VLOOKUP(DATE(2023,MONTH(F286),DAY(F286)),Signs!A:C,3)</f>
        <v>Capricorn</v>
      </c>
      <c r="I286" s="2">
        <v>4</v>
      </c>
    </row>
    <row r="287" spans="1:9" ht="29.25" customHeight="1" x14ac:dyDescent="0.25">
      <c r="A287" s="2" t="s">
        <v>348</v>
      </c>
      <c r="B287" s="2" t="s">
        <v>63</v>
      </c>
      <c r="C287" s="2">
        <v>1912</v>
      </c>
      <c r="D287" s="2">
        <v>1912</v>
      </c>
      <c r="E287" s="2">
        <f>Table1[[#This Row],[End year]]-Table1[[#This Row],[Starting year]]</f>
        <v>0</v>
      </c>
      <c r="F287" s="1" t="s">
        <v>200</v>
      </c>
      <c r="G287" s="2" t="s">
        <v>372</v>
      </c>
      <c r="H287" s="1" t="s">
        <v>200</v>
      </c>
      <c r="I287" s="2">
        <v>4</v>
      </c>
    </row>
    <row r="288" spans="1:9" ht="29.25" customHeight="1" x14ac:dyDescent="0.25">
      <c r="A288" s="2" t="s">
        <v>349</v>
      </c>
      <c r="B288" s="2" t="s">
        <v>18</v>
      </c>
      <c r="C288" s="2">
        <v>1999</v>
      </c>
      <c r="D288" s="2">
        <v>1999</v>
      </c>
      <c r="E288" s="2">
        <f>Table1[[#This Row],[End year]]-Table1[[#This Row],[Starting year]]</f>
        <v>0</v>
      </c>
      <c r="F288" s="1">
        <v>26154</v>
      </c>
      <c r="G288" s="2" t="s">
        <v>372</v>
      </c>
      <c r="H288" s="2" t="str">
        <f>VLOOKUP(DATE(2023,MONTH(F288),DAY(F288)),Signs!A:C,3)</f>
        <v>Leo</v>
      </c>
      <c r="I288" s="2">
        <v>4</v>
      </c>
    </row>
    <row r="289" spans="1:9" ht="29.25" customHeight="1" x14ac:dyDescent="0.25">
      <c r="A289" s="2" t="s">
        <v>350</v>
      </c>
      <c r="B289" s="2" t="s">
        <v>63</v>
      </c>
      <c r="C289" s="2">
        <v>2014</v>
      </c>
      <c r="D289" s="2">
        <v>2015</v>
      </c>
      <c r="E289" s="2">
        <f>Table1[[#This Row],[End year]]-Table1[[#This Row],[Starting year]]</f>
        <v>1</v>
      </c>
      <c r="F289" s="1">
        <v>27447</v>
      </c>
      <c r="G289" s="2" t="s">
        <v>372</v>
      </c>
      <c r="H289" s="2" t="str">
        <f>VLOOKUP(DATE(2023,MONTH(F289),DAY(F289)),Signs!A:C,3)</f>
        <v>Pisces</v>
      </c>
      <c r="I289" s="2">
        <v>4</v>
      </c>
    </row>
    <row r="290" spans="1:9" ht="29.25" customHeight="1" x14ac:dyDescent="0.25">
      <c r="A290" s="2" t="s">
        <v>351</v>
      </c>
      <c r="B290" s="2" t="s">
        <v>63</v>
      </c>
      <c r="C290" s="2">
        <v>1974</v>
      </c>
      <c r="D290" s="2">
        <v>1978</v>
      </c>
      <c r="E290" s="2">
        <f>Table1[[#This Row],[End year]]-Table1[[#This Row],[Starting year]]</f>
        <v>4</v>
      </c>
      <c r="F290" s="1">
        <v>19536</v>
      </c>
      <c r="G290" s="2" t="s">
        <v>372</v>
      </c>
      <c r="H290" s="2" t="str">
        <f>VLOOKUP(DATE(2023,MONTH(F290),DAY(F290)),Signs!A:C,3)</f>
        <v>Cancer</v>
      </c>
      <c r="I290" s="2">
        <v>4</v>
      </c>
    </row>
    <row r="291" spans="1:9" ht="29.25" customHeight="1" x14ac:dyDescent="0.25">
      <c r="A291" s="2" t="s">
        <v>377</v>
      </c>
      <c r="B291" s="2" t="s">
        <v>18</v>
      </c>
      <c r="C291" s="2">
        <v>1995</v>
      </c>
      <c r="D291" s="2">
        <v>1996</v>
      </c>
      <c r="E291" s="2">
        <f>Table1[[#This Row],[End year]]-Table1[[#This Row],[Starting year]]</f>
        <v>1</v>
      </c>
      <c r="F291" s="1">
        <v>24789</v>
      </c>
      <c r="G291" s="2" t="s">
        <v>373</v>
      </c>
      <c r="H291" s="2" t="str">
        <f>VLOOKUP(DATE(2023,MONTH(F291),DAY(F291)),Signs!A:C,3)</f>
        <v>Scorpio</v>
      </c>
      <c r="I291" s="2">
        <v>4</v>
      </c>
    </row>
    <row r="292" spans="1:9" ht="29.25" customHeight="1" x14ac:dyDescent="0.25">
      <c r="A292" s="2" t="s">
        <v>352</v>
      </c>
      <c r="B292" s="2" t="s">
        <v>18</v>
      </c>
      <c r="C292" s="2">
        <v>1960</v>
      </c>
      <c r="D292" s="2">
        <v>1964</v>
      </c>
      <c r="E292" s="2">
        <f>Table1[[#This Row],[End year]]-Table1[[#This Row],[Starting year]]</f>
        <v>4</v>
      </c>
      <c r="F292" s="1">
        <v>14579</v>
      </c>
      <c r="G292" s="2" t="s">
        <v>373</v>
      </c>
      <c r="H292" s="2" t="str">
        <f>VLOOKUP(DATE(2023,MONTH(F292),DAY(F292)),Signs!A:C,3)</f>
        <v>Sagittarius</v>
      </c>
      <c r="I292" s="2">
        <v>3</v>
      </c>
    </row>
    <row r="293" spans="1:9" ht="29.25" customHeight="1" x14ac:dyDescent="0.25">
      <c r="A293" s="2" t="s">
        <v>353</v>
      </c>
      <c r="B293" s="2" t="s">
        <v>18</v>
      </c>
      <c r="C293" s="2">
        <v>1978</v>
      </c>
      <c r="D293" s="2">
        <v>1996</v>
      </c>
      <c r="E293" s="2">
        <f>Table1[[#This Row],[End year]]-Table1[[#This Row],[Starting year]]</f>
        <v>18</v>
      </c>
      <c r="F293" s="1">
        <v>15483</v>
      </c>
      <c r="G293" s="2" t="s">
        <v>372</v>
      </c>
      <c r="H293" s="2" t="str">
        <f>VLOOKUP(DATE(2023,MONTH(F293),DAY(F293)),Signs!A:C,3)</f>
        <v>Gemini</v>
      </c>
      <c r="I293" s="2">
        <v>3</v>
      </c>
    </row>
    <row r="294" spans="1:9" ht="29.25" customHeight="1" x14ac:dyDescent="0.25">
      <c r="A294" s="2" t="s">
        <v>354</v>
      </c>
      <c r="B294" s="2" t="s">
        <v>18</v>
      </c>
      <c r="C294" s="2">
        <v>1989</v>
      </c>
      <c r="D294" s="2">
        <v>1990</v>
      </c>
      <c r="E294" s="2">
        <f>Table1[[#This Row],[End year]]-Table1[[#This Row],[Starting year]]</f>
        <v>1</v>
      </c>
      <c r="F294" s="1">
        <v>16763</v>
      </c>
      <c r="G294" s="2" t="s">
        <v>372</v>
      </c>
      <c r="H294" s="2" t="str">
        <f>VLOOKUP(DATE(2023,MONTH(F294),DAY(F294)),Signs!A:C,3)</f>
        <v>Sagittarius</v>
      </c>
      <c r="I294" s="2">
        <v>3</v>
      </c>
    </row>
    <row r="295" spans="1:9" ht="29.25" customHeight="1" x14ac:dyDescent="0.25">
      <c r="A295" s="2" t="s">
        <v>355</v>
      </c>
      <c r="B295" s="2" t="s">
        <v>63</v>
      </c>
      <c r="C295" s="2">
        <v>1991</v>
      </c>
      <c r="D295" s="2">
        <v>2006</v>
      </c>
      <c r="E295" s="2">
        <f>Table1[[#This Row],[End year]]-Table1[[#This Row],[Starting year]]</f>
        <v>15</v>
      </c>
      <c r="F295" s="1">
        <v>17041</v>
      </c>
      <c r="G295" s="2" t="s">
        <v>372</v>
      </c>
      <c r="H295" s="2" t="str">
        <f>VLOOKUP(DATE(2023,MONTH(F295),DAY(F295)),Signs!A:C,3)</f>
        <v>Virgo</v>
      </c>
      <c r="I295" s="2">
        <v>3</v>
      </c>
    </row>
    <row r="296" spans="1:9" ht="29.25" customHeight="1" x14ac:dyDescent="0.25">
      <c r="A296" s="2" t="s">
        <v>356</v>
      </c>
      <c r="B296" s="2" t="s">
        <v>47</v>
      </c>
      <c r="C296" s="2">
        <v>1986</v>
      </c>
      <c r="D296" s="2">
        <v>1986</v>
      </c>
      <c r="E296" s="2">
        <f>Table1[[#This Row],[End year]]-Table1[[#This Row],[Starting year]]</f>
        <v>0</v>
      </c>
      <c r="F296" s="1" t="s">
        <v>200</v>
      </c>
      <c r="G296" s="2" t="s">
        <v>372</v>
      </c>
      <c r="H296" s="1" t="s">
        <v>200</v>
      </c>
      <c r="I296" s="2">
        <v>3</v>
      </c>
    </row>
    <row r="297" spans="1:9" ht="29.25" customHeight="1" x14ac:dyDescent="0.25">
      <c r="A297" s="2" t="s">
        <v>357</v>
      </c>
      <c r="B297" s="2" t="s">
        <v>18</v>
      </c>
      <c r="C297" s="2">
        <v>1986</v>
      </c>
      <c r="D297" s="2">
        <v>1987</v>
      </c>
      <c r="E297" s="2">
        <f>Table1[[#This Row],[End year]]-Table1[[#This Row],[Starting year]]</f>
        <v>1</v>
      </c>
      <c r="F297" s="1">
        <v>15900</v>
      </c>
      <c r="G297" s="2" t="s">
        <v>372</v>
      </c>
      <c r="H297" s="2" t="str">
        <f>VLOOKUP(DATE(2023,MONTH(F297),DAY(F297)),Signs!A:C,3)</f>
        <v>Cancer</v>
      </c>
      <c r="I297" s="2">
        <v>3</v>
      </c>
    </row>
    <row r="298" spans="1:9" ht="29.25" customHeight="1" x14ac:dyDescent="0.25">
      <c r="A298" s="2" t="s">
        <v>358</v>
      </c>
      <c r="B298" s="2" t="s">
        <v>18</v>
      </c>
      <c r="C298" s="2">
        <v>1909</v>
      </c>
      <c r="D298" s="2">
        <v>1928</v>
      </c>
      <c r="E298" s="2">
        <f>Table1[[#This Row],[End year]]-Table1[[#This Row],[Starting year]]</f>
        <v>19</v>
      </c>
      <c r="F298" s="1">
        <v>45229</v>
      </c>
      <c r="G298" s="2" t="s">
        <v>373</v>
      </c>
      <c r="H298" s="2" t="str">
        <f>VLOOKUP(DATE(2023,MONTH(F298),DAY(F298)),Signs!A:C,3)</f>
        <v>Scorpio</v>
      </c>
      <c r="I298" s="2">
        <v>3</v>
      </c>
    </row>
    <row r="299" spans="1:9" ht="29.25" customHeight="1" x14ac:dyDescent="0.25">
      <c r="A299" s="2" t="s">
        <v>359</v>
      </c>
      <c r="B299" s="3" t="s">
        <v>52</v>
      </c>
      <c r="C299" s="3">
        <v>1947</v>
      </c>
      <c r="D299" s="3">
        <v>1952</v>
      </c>
      <c r="E299" s="2">
        <f>Table1[[#This Row],[End year]]-Table1[[#This Row],[Starting year]]</f>
        <v>5</v>
      </c>
      <c r="F299" s="1" t="s">
        <v>200</v>
      </c>
      <c r="G299" s="2" t="s">
        <v>372</v>
      </c>
      <c r="H299" s="1" t="s">
        <v>200</v>
      </c>
      <c r="I299" s="2">
        <v>3</v>
      </c>
    </row>
    <row r="300" spans="1:9" ht="29.25" customHeight="1" x14ac:dyDescent="0.25">
      <c r="A300" s="2" t="s">
        <v>360</v>
      </c>
      <c r="B300" s="2" t="s">
        <v>63</v>
      </c>
      <c r="C300" s="2">
        <v>2009</v>
      </c>
      <c r="D300" s="2">
        <v>2010</v>
      </c>
      <c r="E300" s="2">
        <f>Table1[[#This Row],[End year]]-Table1[[#This Row],[Starting year]]</f>
        <v>1</v>
      </c>
      <c r="F300" s="1">
        <v>25561</v>
      </c>
      <c r="G300" s="2" t="s">
        <v>372</v>
      </c>
      <c r="H300" s="2" t="str">
        <f>VLOOKUP(DATE(2023,MONTH(F300),DAY(F300)),Signs!A:C,3)</f>
        <v>Capricorn</v>
      </c>
      <c r="I300" s="2">
        <v>3</v>
      </c>
    </row>
    <row r="301" spans="1:9" ht="29.25" customHeight="1" x14ac:dyDescent="0.25">
      <c r="A301" s="2" t="s">
        <v>361</v>
      </c>
      <c r="B301" s="2" t="s">
        <v>362</v>
      </c>
      <c r="C301" s="2">
        <v>1979</v>
      </c>
      <c r="D301" s="2">
        <v>1980</v>
      </c>
      <c r="E301" s="2">
        <f>Table1[[#This Row],[End year]]-Table1[[#This Row],[Starting year]]</f>
        <v>1</v>
      </c>
      <c r="F301" s="1">
        <v>18248</v>
      </c>
      <c r="G301" s="2" t="s">
        <v>372</v>
      </c>
      <c r="H301" s="2" t="str">
        <f>VLOOKUP(DATE(2023,MONTH(F301),DAY(F301)),Signs!A:C,3)</f>
        <v>Sagittarius</v>
      </c>
      <c r="I301" s="2">
        <v>3</v>
      </c>
    </row>
    <row r="302" spans="1:9" ht="29.25" customHeight="1" x14ac:dyDescent="0.25">
      <c r="A302" s="2" t="s">
        <v>363</v>
      </c>
      <c r="B302" s="2" t="s">
        <v>198</v>
      </c>
      <c r="C302" s="2">
        <v>2007</v>
      </c>
      <c r="D302" s="2">
        <v>2013</v>
      </c>
      <c r="E302" s="2">
        <f>Table1[[#This Row],[End year]]-Table1[[#This Row],[Starting year]]</f>
        <v>6</v>
      </c>
      <c r="F302" s="1">
        <v>17134</v>
      </c>
      <c r="G302" s="2" t="s">
        <v>373</v>
      </c>
      <c r="H302" s="2" t="str">
        <f>VLOOKUP(DATE(2023,MONTH(F302),DAY(F302)),Signs!A:C,3)</f>
        <v>Sagittarius</v>
      </c>
      <c r="I302" s="2">
        <v>3</v>
      </c>
    </row>
    <row r="303" spans="1:9" ht="29.25" customHeight="1" x14ac:dyDescent="0.25">
      <c r="A303" s="2" t="s">
        <v>364</v>
      </c>
      <c r="B303" s="2" t="s">
        <v>18</v>
      </c>
      <c r="C303" s="2">
        <v>1982</v>
      </c>
      <c r="D303" s="2">
        <v>1988</v>
      </c>
      <c r="E303" s="2">
        <f>Table1[[#This Row],[End year]]-Table1[[#This Row],[Starting year]]</f>
        <v>6</v>
      </c>
      <c r="F303" s="1">
        <v>10602</v>
      </c>
      <c r="G303" s="2" t="s">
        <v>373</v>
      </c>
      <c r="H303" s="2" t="str">
        <f>VLOOKUP(DATE(2023,MONTH(F303),DAY(F303)),Signs!A:C,3)</f>
        <v>Capricorn</v>
      </c>
      <c r="I303" s="2">
        <v>3</v>
      </c>
    </row>
    <row r="304" spans="1:9" ht="29.25" customHeight="1" x14ac:dyDescent="0.25">
      <c r="A304" s="2" t="s">
        <v>365</v>
      </c>
      <c r="B304" s="2" t="s">
        <v>63</v>
      </c>
      <c r="C304" s="2">
        <v>1973</v>
      </c>
      <c r="D304" s="2">
        <v>1975</v>
      </c>
      <c r="E304" s="2">
        <f>Table1[[#This Row],[End year]]-Table1[[#This Row],[Starting year]]</f>
        <v>2</v>
      </c>
      <c r="F304" s="1">
        <v>19262</v>
      </c>
      <c r="G304" s="2" t="s">
        <v>372</v>
      </c>
      <c r="H304" s="2" t="str">
        <f>VLOOKUP(DATE(2023,MONTH(F304),DAY(F304)),Signs!A:C,3)</f>
        <v>Libra</v>
      </c>
      <c r="I304" s="2">
        <v>3</v>
      </c>
    </row>
    <row r="305" spans="1:9" ht="29.25" customHeight="1" x14ac:dyDescent="0.25">
      <c r="A305" s="2" t="s">
        <v>366</v>
      </c>
      <c r="B305" s="2" t="s">
        <v>20</v>
      </c>
      <c r="C305" s="2">
        <v>1939</v>
      </c>
      <c r="D305" s="2">
        <v>1940</v>
      </c>
      <c r="E305" s="2">
        <f>Table1[[#This Row],[End year]]-Table1[[#This Row],[Starting year]]</f>
        <v>1</v>
      </c>
      <c r="F305" s="1">
        <v>45030</v>
      </c>
      <c r="G305" s="2" t="s">
        <v>373</v>
      </c>
      <c r="H305" s="2" t="str">
        <f>VLOOKUP(DATE(2023,MONTH(F305),DAY(F305)),Signs!A:C,3)</f>
        <v>Aries</v>
      </c>
      <c r="I305" s="2">
        <v>3</v>
      </c>
    </row>
    <row r="306" spans="1:9" ht="29.25" customHeight="1" x14ac:dyDescent="0.25">
      <c r="A306" s="2" t="s">
        <v>367</v>
      </c>
      <c r="B306" s="2" t="s">
        <v>100</v>
      </c>
      <c r="C306" s="2">
        <v>2008</v>
      </c>
      <c r="D306" s="2">
        <v>2008</v>
      </c>
      <c r="E306" s="2">
        <f>Table1[[#This Row],[End year]]-Table1[[#This Row],[Starting year]]</f>
        <v>0</v>
      </c>
      <c r="F306" s="1" t="s">
        <v>200</v>
      </c>
      <c r="G306" s="2" t="s">
        <v>372</v>
      </c>
      <c r="H306" s="1" t="s">
        <v>200</v>
      </c>
      <c r="I306" s="2">
        <v>3</v>
      </c>
    </row>
    <row r="307" spans="1:9" ht="29.25" customHeight="1" x14ac:dyDescent="0.25">
      <c r="A307" s="2" t="s">
        <v>368</v>
      </c>
      <c r="B307" s="2" t="s">
        <v>18</v>
      </c>
      <c r="C307" s="2">
        <v>1924</v>
      </c>
      <c r="D307" s="2">
        <v>1932</v>
      </c>
      <c r="E307" s="2">
        <f>Table1[[#This Row],[End year]]-Table1[[#This Row],[Starting year]]</f>
        <v>8</v>
      </c>
      <c r="F307" s="1">
        <v>45065</v>
      </c>
      <c r="G307" s="2" t="s">
        <v>372</v>
      </c>
      <c r="H307" s="2" t="str">
        <f>VLOOKUP(DATE(2023,MONTH(F307),DAY(F307)),Signs!A:C,3)</f>
        <v>Taurus</v>
      </c>
      <c r="I307" s="2">
        <v>3</v>
      </c>
    </row>
    <row r="308" spans="1:9" ht="29.25" customHeight="1" x14ac:dyDescent="0.25">
      <c r="A308" s="2" t="s">
        <v>369</v>
      </c>
      <c r="B308" s="2" t="s">
        <v>18</v>
      </c>
      <c r="C308" s="2">
        <v>1990</v>
      </c>
      <c r="D308" s="2">
        <v>1996</v>
      </c>
      <c r="E308" s="2">
        <f>Table1[[#This Row],[End year]]-Table1[[#This Row],[Starting year]]</f>
        <v>6</v>
      </c>
      <c r="F308" s="1">
        <v>24666</v>
      </c>
      <c r="G308" s="2" t="s">
        <v>372</v>
      </c>
      <c r="H308" s="2" t="str">
        <f>VLOOKUP(DATE(2023,MONTH(F308),DAY(F308)),Signs!A:C,3)</f>
        <v>Cancer</v>
      </c>
      <c r="I308" s="2">
        <v>3</v>
      </c>
    </row>
    <row r="309" spans="1:9" ht="29.25" customHeight="1" x14ac:dyDescent="0.25">
      <c r="A309" s="2" t="s">
        <v>370</v>
      </c>
      <c r="B309" s="2" t="s">
        <v>63</v>
      </c>
      <c r="C309" s="2">
        <v>1995</v>
      </c>
      <c r="D309" s="2">
        <v>1995</v>
      </c>
      <c r="E309" s="2">
        <f>Table1[[#This Row],[End year]]-Table1[[#This Row],[Starting year]]</f>
        <v>0</v>
      </c>
      <c r="F309" s="1">
        <v>22795</v>
      </c>
      <c r="G309" s="2" t="s">
        <v>372</v>
      </c>
      <c r="H309" s="2" t="str">
        <f>VLOOKUP(DATE(2023,MONTH(F309),DAY(F309)),Signs!A:C,3)</f>
        <v>Gemini</v>
      </c>
      <c r="I309" s="2">
        <v>3</v>
      </c>
    </row>
    <row r="310" spans="1:9" ht="29.25" customHeight="1" x14ac:dyDescent="0.25">
      <c r="A310" s="2" t="s">
        <v>375</v>
      </c>
      <c r="B310" s="2" t="s">
        <v>18</v>
      </c>
      <c r="C310" s="2">
        <v>1971</v>
      </c>
      <c r="D310" s="2">
        <v>1983</v>
      </c>
      <c r="E310" s="2">
        <f>Table1[[#This Row],[End year]]-Table1[[#This Row],[Starting year]]</f>
        <v>12</v>
      </c>
      <c r="F310" s="1">
        <v>15800</v>
      </c>
      <c r="G310" s="2" t="s">
        <v>373</v>
      </c>
      <c r="H310" s="2" t="str">
        <f>VLOOKUP(DATE(2023,MONTH(F310),DAY(F310)),Signs!A:C,3)</f>
        <v>Aries</v>
      </c>
      <c r="I310" s="2">
        <v>3</v>
      </c>
    </row>
  </sheetData>
  <phoneticPr fontId="1" type="noConversion"/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B1:AI349"/>
  <sheetViews>
    <sheetView tabSelected="1" zoomScaleNormal="100" workbookViewId="0">
      <selection activeCell="H45" sqref="H45"/>
    </sheetView>
  </sheetViews>
  <sheetFormatPr baseColWidth="10" defaultColWidth="9.140625" defaultRowHeight="15" x14ac:dyDescent="0.25"/>
  <cols>
    <col min="1" max="1" width="9.140625" style="2"/>
    <col min="2" max="2" width="19.7109375" style="2" customWidth="1"/>
    <col min="3" max="3" width="19.140625" style="2" customWidth="1"/>
    <col min="4" max="4" width="9.140625" style="2"/>
    <col min="5" max="5" width="9.85546875" style="2" customWidth="1"/>
    <col min="6" max="6" width="10.28515625" style="2" customWidth="1"/>
    <col min="7" max="7" width="13.140625" style="2" customWidth="1"/>
    <col min="8" max="10" width="23.28515625" style="2" customWidth="1"/>
    <col min="11" max="11" width="27" style="2" customWidth="1"/>
    <col min="12" max="12" width="26" style="2" customWidth="1"/>
    <col min="13" max="13" width="27" style="2" customWidth="1"/>
    <col min="14" max="14" width="26" style="2" customWidth="1"/>
    <col min="15" max="15" width="27" style="2" customWidth="1"/>
    <col min="16" max="16" width="26" style="2" customWidth="1"/>
    <col min="17" max="17" width="27" style="2" customWidth="1"/>
    <col min="18" max="18" width="26" style="2" customWidth="1"/>
    <col min="19" max="19" width="27" style="2" customWidth="1"/>
    <col min="20" max="20" width="26" style="2" customWidth="1"/>
    <col min="21" max="21" width="27" style="2" bestFit="1" customWidth="1"/>
    <col min="22" max="22" width="26" style="2" bestFit="1" customWidth="1"/>
    <col min="23" max="23" width="27" style="2" bestFit="1" customWidth="1"/>
    <col min="24" max="24" width="26" style="2" bestFit="1" customWidth="1"/>
    <col min="25" max="25" width="27" style="2" bestFit="1" customWidth="1"/>
    <col min="26" max="26" width="26" style="2" bestFit="1" customWidth="1"/>
    <col min="27" max="27" width="27" style="2" bestFit="1" customWidth="1"/>
    <col min="28" max="28" width="26" style="2" bestFit="1" customWidth="1"/>
    <col min="29" max="29" width="27" style="2" bestFit="1" customWidth="1"/>
    <col min="30" max="30" width="26" style="2" bestFit="1" customWidth="1"/>
    <col min="31" max="31" width="27" style="2" bestFit="1" customWidth="1"/>
    <col min="32" max="32" width="26" style="2" bestFit="1" customWidth="1"/>
    <col min="33" max="33" width="27" style="2" bestFit="1" customWidth="1"/>
    <col min="34" max="34" width="31" style="2" bestFit="1" customWidth="1"/>
    <col min="35" max="35" width="32" style="2" bestFit="1" customWidth="1"/>
    <col min="36" max="16384" width="9.140625" style="2"/>
  </cols>
  <sheetData>
    <row r="1" spans="2:8" x14ac:dyDescent="0.25">
      <c r="B1" s="2" t="s">
        <v>390</v>
      </c>
      <c r="C1" s="2" t="s">
        <v>384</v>
      </c>
    </row>
    <row r="2" spans="2:8" hidden="1" x14ac:dyDescent="0.25">
      <c r="B2" s="2" t="s">
        <v>200</v>
      </c>
      <c r="C2" s="2">
        <f>COUNTIF(Data!H:H,B2)</f>
        <v>83</v>
      </c>
    </row>
    <row r="3" spans="2:8" x14ac:dyDescent="0.25">
      <c r="B3" s="2" t="s">
        <v>332</v>
      </c>
      <c r="C3" s="2">
        <f>COUNTIF(Data!H:H,B3)</f>
        <v>24</v>
      </c>
    </row>
    <row r="4" spans="2:8" x14ac:dyDescent="0.25">
      <c r="B4" s="2" t="s">
        <v>334</v>
      </c>
      <c r="C4" s="2">
        <f>COUNTIF(Data!H:H,B4)</f>
        <v>24</v>
      </c>
    </row>
    <row r="5" spans="2:8" x14ac:dyDescent="0.25">
      <c r="B5" s="2" t="s">
        <v>330</v>
      </c>
      <c r="C5" s="2">
        <f>COUNTIF(Data!H:H,B5)</f>
        <v>24</v>
      </c>
    </row>
    <row r="6" spans="2:8" x14ac:dyDescent="0.25">
      <c r="B6" s="2" t="s">
        <v>331</v>
      </c>
      <c r="C6" s="2">
        <f>COUNTIF(Data!H:H,B6)</f>
        <v>23</v>
      </c>
    </row>
    <row r="7" spans="2:8" x14ac:dyDescent="0.25">
      <c r="B7" s="2" t="s">
        <v>323</v>
      </c>
      <c r="C7" s="2">
        <f>COUNTIF(Data!H:H,B7)</f>
        <v>21</v>
      </c>
    </row>
    <row r="8" spans="2:8" x14ac:dyDescent="0.25">
      <c r="B8" s="2" t="s">
        <v>333</v>
      </c>
      <c r="C8" s="2">
        <f>COUNTIF(Data!H:H,B8)</f>
        <v>20</v>
      </c>
    </row>
    <row r="9" spans="2:8" x14ac:dyDescent="0.25">
      <c r="B9" s="2" t="s">
        <v>326</v>
      </c>
      <c r="C9" s="2">
        <f>COUNTIF(Data!H:H,B9)</f>
        <v>20</v>
      </c>
    </row>
    <row r="10" spans="2:8" x14ac:dyDescent="0.25">
      <c r="B10" s="2" t="s">
        <v>324</v>
      </c>
      <c r="C10" s="2">
        <f>COUNTIF(Data!H:H,B10)</f>
        <v>17</v>
      </c>
    </row>
    <row r="11" spans="2:8" x14ac:dyDescent="0.25">
      <c r="B11" s="2" t="s">
        <v>325</v>
      </c>
      <c r="C11" s="2">
        <f>COUNTIF(Data!H:H,B11)</f>
        <v>17</v>
      </c>
    </row>
    <row r="12" spans="2:8" x14ac:dyDescent="0.25">
      <c r="B12" s="2" t="s">
        <v>329</v>
      </c>
      <c r="C12" s="2">
        <f>COUNTIF(Data!H:H,B12)</f>
        <v>14</v>
      </c>
    </row>
    <row r="13" spans="2:8" x14ac:dyDescent="0.25">
      <c r="B13" s="2" t="s">
        <v>328</v>
      </c>
      <c r="C13" s="2">
        <f>COUNTIF(Data!H:H,B13)</f>
        <v>12</v>
      </c>
    </row>
    <row r="14" spans="2:8" x14ac:dyDescent="0.25">
      <c r="B14" s="2" t="s">
        <v>327</v>
      </c>
      <c r="C14" s="2">
        <f>COUNTIF(Data!H:H,B14)</f>
        <v>10</v>
      </c>
      <c r="H14" s="3"/>
    </row>
    <row r="15" spans="2:8" x14ac:dyDescent="0.25">
      <c r="B15"/>
      <c r="C15"/>
    </row>
    <row r="17" spans="2:8" x14ac:dyDescent="0.25">
      <c r="B17" s="2" t="s">
        <v>389</v>
      </c>
      <c r="C17" s="2" t="s">
        <v>379</v>
      </c>
    </row>
    <row r="18" spans="2:8" x14ac:dyDescent="0.25">
      <c r="B18" s="2" t="s">
        <v>372</v>
      </c>
      <c r="C18" s="2">
        <f>COUNTIF(Data!G:G,B18)</f>
        <v>274</v>
      </c>
    </row>
    <row r="19" spans="2:8" x14ac:dyDescent="0.25">
      <c r="B19" s="2" t="s">
        <v>373</v>
      </c>
      <c r="C19" s="2">
        <f>COUNTIF(Data!G:G,B19)</f>
        <v>19</v>
      </c>
      <c r="H19" s="3"/>
    </row>
    <row r="20" spans="2:8" x14ac:dyDescent="0.25">
      <c r="B20" s="2" t="s">
        <v>374</v>
      </c>
      <c r="C20" s="2">
        <f>COUNTIF(Data!G:G,B20)</f>
        <v>16</v>
      </c>
    </row>
    <row r="23" spans="2:8" x14ac:dyDescent="0.25">
      <c r="B23" s="2" t="s">
        <v>390</v>
      </c>
      <c r="C23" s="2" t="s">
        <v>383</v>
      </c>
    </row>
    <row r="24" spans="2:8" hidden="1" x14ac:dyDescent="0.25">
      <c r="B24" s="2" t="s">
        <v>200</v>
      </c>
      <c r="C24" s="2">
        <f>SUMIF(Table1[Zodiac sign],B24,Table1[Proven victims])</f>
        <v>1518</v>
      </c>
    </row>
    <row r="25" spans="2:8" x14ac:dyDescent="0.25">
      <c r="B25" s="3" t="s">
        <v>333</v>
      </c>
      <c r="C25" s="2">
        <f>SUMIF(Table1[Zodiac sign],B25,Table1[Proven victims])</f>
        <v>574</v>
      </c>
    </row>
    <row r="26" spans="2:8" x14ac:dyDescent="0.25">
      <c r="B26" s="2" t="s">
        <v>330</v>
      </c>
      <c r="C26" s="2">
        <f>SUMIF(Table1[Zodiac sign],B26,Table1[Proven victims])</f>
        <v>446</v>
      </c>
    </row>
    <row r="27" spans="2:8" x14ac:dyDescent="0.25">
      <c r="B27" s="2" t="s">
        <v>332</v>
      </c>
      <c r="C27" s="2">
        <f>SUMIF(Table1[Zodiac sign],B27,Table1[Proven victims])</f>
        <v>401</v>
      </c>
    </row>
    <row r="28" spans="2:8" x14ac:dyDescent="0.25">
      <c r="B28" s="3" t="s">
        <v>334</v>
      </c>
      <c r="C28" s="2">
        <f>SUMIF(Table1[Zodiac sign],B28,Table1[Proven victims])</f>
        <v>365</v>
      </c>
      <c r="H28" s="3"/>
    </row>
    <row r="29" spans="2:8" x14ac:dyDescent="0.25">
      <c r="B29" s="2" t="s">
        <v>323</v>
      </c>
      <c r="C29" s="2">
        <f>SUMIF(Table1[Zodiac sign],B29,Table1[Proven victims])</f>
        <v>331</v>
      </c>
    </row>
    <row r="30" spans="2:8" x14ac:dyDescent="0.25">
      <c r="B30" s="2" t="s">
        <v>329</v>
      </c>
      <c r="C30" s="2">
        <f>SUMIF(Table1[Zodiac sign],B30,Table1[Proven victims])</f>
        <v>315</v>
      </c>
      <c r="H30" s="3"/>
    </row>
    <row r="31" spans="2:8" x14ac:dyDescent="0.25">
      <c r="B31" s="2" t="s">
        <v>331</v>
      </c>
      <c r="C31" s="2">
        <f>SUMIF(Table1[Zodiac sign],B31,Table1[Proven victims])</f>
        <v>294</v>
      </c>
      <c r="H31" s="3"/>
    </row>
    <row r="32" spans="2:8" x14ac:dyDescent="0.25">
      <c r="B32" s="3" t="s">
        <v>326</v>
      </c>
      <c r="C32" s="2">
        <f>SUMIF(Table1[Zodiac sign],B32,Table1[Proven victims])</f>
        <v>251</v>
      </c>
    </row>
    <row r="33" spans="2:8" x14ac:dyDescent="0.25">
      <c r="B33" s="2" t="s">
        <v>325</v>
      </c>
      <c r="C33" s="2">
        <f>SUMIF(Table1[Zodiac sign],B33,Table1[Proven victims])</f>
        <v>226</v>
      </c>
    </row>
    <row r="34" spans="2:8" x14ac:dyDescent="0.25">
      <c r="B34" s="2" t="s">
        <v>324</v>
      </c>
      <c r="C34" s="2">
        <f>SUMIF(Table1[Zodiac sign],B34,Table1[Proven victims])</f>
        <v>196</v>
      </c>
    </row>
    <row r="35" spans="2:8" x14ac:dyDescent="0.25">
      <c r="B35" s="2" t="s">
        <v>327</v>
      </c>
      <c r="C35" s="2">
        <f>SUMIF(Table1[Zodiac sign],B35,Table1[Proven victims])</f>
        <v>176</v>
      </c>
    </row>
    <row r="36" spans="2:8" x14ac:dyDescent="0.25">
      <c r="B36" s="2" t="s">
        <v>328</v>
      </c>
      <c r="C36" s="2">
        <f>SUMIF(Table1[Zodiac sign],B36,Table1[Proven victims])</f>
        <v>132</v>
      </c>
      <c r="H36" s="3"/>
    </row>
    <row r="39" spans="2:8" x14ac:dyDescent="0.25">
      <c r="B39" s="2" t="s">
        <v>386</v>
      </c>
      <c r="C39" s="2" t="s">
        <v>387</v>
      </c>
    </row>
    <row r="40" spans="2:8" x14ac:dyDescent="0.25">
      <c r="B40" s="2" t="s">
        <v>18</v>
      </c>
      <c r="C40" s="2">
        <f>COUNTIF(Data!B:B,B40)</f>
        <v>96</v>
      </c>
    </row>
    <row r="41" spans="2:8" x14ac:dyDescent="0.25">
      <c r="B41" s="2" t="s">
        <v>9</v>
      </c>
      <c r="C41" s="2">
        <f>COUNTIF(Data!B:B,B41)</f>
        <v>40</v>
      </c>
    </row>
    <row r="42" spans="2:8" x14ac:dyDescent="0.25">
      <c r="B42" s="2" t="s">
        <v>35</v>
      </c>
      <c r="C42" s="2">
        <f>COUNTIF(Data!B:B,B42)</f>
        <v>19</v>
      </c>
    </row>
    <row r="43" spans="2:8" x14ac:dyDescent="0.25">
      <c r="B43" s="2" t="s">
        <v>63</v>
      </c>
      <c r="C43" s="2">
        <f>COUNTIF(Data!B:B,B43)</f>
        <v>13</v>
      </c>
      <c r="H43" s="3"/>
    </row>
    <row r="44" spans="2:8" x14ac:dyDescent="0.25">
      <c r="B44" s="2" t="s">
        <v>14</v>
      </c>
      <c r="C44" s="2">
        <f>COUNTIF(Data!B:B,B44)</f>
        <v>10</v>
      </c>
    </row>
    <row r="45" spans="2:8" x14ac:dyDescent="0.25">
      <c r="B45" s="2" t="s">
        <v>16</v>
      </c>
      <c r="C45" s="2">
        <f>COUNTIF(Data!B:B,B45)</f>
        <v>9</v>
      </c>
    </row>
    <row r="46" spans="2:8" x14ac:dyDescent="0.25">
      <c r="B46" s="2" t="s">
        <v>12</v>
      </c>
      <c r="C46" s="2">
        <f>COUNTIF(Data!B:B,B46)</f>
        <v>8</v>
      </c>
      <c r="H46" s="3"/>
    </row>
    <row r="47" spans="2:8" x14ac:dyDescent="0.25">
      <c r="B47" s="2" t="s">
        <v>103</v>
      </c>
      <c r="C47" s="2">
        <f>COUNTIF(Data!B:B,B47)</f>
        <v>8</v>
      </c>
      <c r="G47"/>
      <c r="H47"/>
    </row>
    <row r="48" spans="2:8" x14ac:dyDescent="0.25">
      <c r="B48" s="2" t="s">
        <v>55</v>
      </c>
      <c r="C48" s="2">
        <f>COUNTIF(Data!B:B,B48)</f>
        <v>7</v>
      </c>
    </row>
    <row r="49" spans="2:35" x14ac:dyDescent="0.25">
      <c r="B49" s="2" t="s">
        <v>52</v>
      </c>
      <c r="C49" s="2">
        <f>COUNTIF(Data!B:B,B49)</f>
        <v>7</v>
      </c>
      <c r="G49" s="5"/>
      <c r="H49" s="6"/>
      <c r="I49" s="7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</row>
    <row r="50" spans="2:35" x14ac:dyDescent="0.25">
      <c r="B50" s="2" t="s">
        <v>198</v>
      </c>
      <c r="C50" s="2">
        <f>COUNTIF(Data!B:B,B50)</f>
        <v>6</v>
      </c>
      <c r="G50" s="8"/>
      <c r="H50" s="9"/>
      <c r="I50" s="1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</row>
    <row r="51" spans="2:35" x14ac:dyDescent="0.25">
      <c r="B51" s="2" t="s">
        <v>391</v>
      </c>
      <c r="C51" s="2">
        <v>86</v>
      </c>
      <c r="G51" s="8"/>
      <c r="H51" s="9"/>
      <c r="I51" s="10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</row>
    <row r="52" spans="2:35" x14ac:dyDescent="0.25">
      <c r="B52" s="2" t="s">
        <v>388</v>
      </c>
      <c r="C52" s="2">
        <f>SUBTOTAL(109,Table5[Count of killers])</f>
        <v>309</v>
      </c>
      <c r="G52" s="8"/>
      <c r="H52" s="9"/>
      <c r="I52" s="10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</row>
    <row r="53" spans="2:35" x14ac:dyDescent="0.25">
      <c r="G53" s="8"/>
      <c r="H53" s="9"/>
      <c r="I53" s="10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</row>
    <row r="54" spans="2:35" x14ac:dyDescent="0.25">
      <c r="G54" s="8"/>
      <c r="H54" s="9"/>
      <c r="I54" s="10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</row>
    <row r="55" spans="2:35" x14ac:dyDescent="0.25">
      <c r="G55" s="8"/>
      <c r="H55" s="9"/>
      <c r="I55" s="10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</row>
    <row r="56" spans="2:35" x14ac:dyDescent="0.25">
      <c r="G56" s="8"/>
      <c r="H56" s="9"/>
      <c r="I56" s="10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</row>
    <row r="57" spans="2:35" x14ac:dyDescent="0.25">
      <c r="G57" s="8"/>
      <c r="H57" s="9"/>
      <c r="I57" s="10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</row>
    <row r="58" spans="2:35" x14ac:dyDescent="0.25">
      <c r="G58" s="8"/>
      <c r="H58" s="9"/>
      <c r="I58" s="10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</row>
    <row r="59" spans="2:35" x14ac:dyDescent="0.25">
      <c r="G59" s="8"/>
      <c r="H59" s="9"/>
      <c r="I59" s="10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</row>
    <row r="60" spans="2:35" x14ac:dyDescent="0.25">
      <c r="G60" s="8"/>
      <c r="H60" s="9"/>
      <c r="I60" s="1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</row>
    <row r="61" spans="2:35" x14ac:dyDescent="0.25">
      <c r="G61" s="8"/>
      <c r="H61" s="9"/>
      <c r="I61" s="10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</row>
    <row r="62" spans="2:35" x14ac:dyDescent="0.25">
      <c r="G62" s="8"/>
      <c r="H62" s="9"/>
      <c r="I62" s="10"/>
      <c r="J62"/>
    </row>
    <row r="63" spans="2:35" x14ac:dyDescent="0.25">
      <c r="G63" s="8"/>
      <c r="H63" s="9"/>
      <c r="I63" s="10"/>
      <c r="J63"/>
    </row>
    <row r="64" spans="2:35" x14ac:dyDescent="0.25">
      <c r="G64" s="8"/>
      <c r="H64" s="9"/>
      <c r="I64" s="10"/>
    </row>
    <row r="65" spans="7:9" x14ac:dyDescent="0.25">
      <c r="G65" s="8"/>
      <c r="H65" s="9"/>
      <c r="I65" s="10"/>
    </row>
    <row r="66" spans="7:9" x14ac:dyDescent="0.25">
      <c r="G66" s="11"/>
      <c r="H66" s="12"/>
      <c r="I66" s="13"/>
    </row>
    <row r="67" spans="7:9" x14ac:dyDescent="0.25">
      <c r="H67" s="3"/>
    </row>
    <row r="68" spans="7:9" x14ac:dyDescent="0.25">
      <c r="H68" s="3"/>
    </row>
    <row r="71" spans="7:9" x14ac:dyDescent="0.25">
      <c r="H71" s="3"/>
    </row>
    <row r="73" spans="7:9" x14ac:dyDescent="0.25">
      <c r="H73" s="3"/>
    </row>
    <row r="92" spans="2:2" x14ac:dyDescent="0.25">
      <c r="B92"/>
    </row>
    <row r="93" spans="2:2" x14ac:dyDescent="0.25">
      <c r="B93"/>
    </row>
    <row r="94" spans="2:2" x14ac:dyDescent="0.25">
      <c r="B94"/>
    </row>
    <row r="95" spans="2:2" x14ac:dyDescent="0.25">
      <c r="B95"/>
    </row>
    <row r="96" spans="2:2" x14ac:dyDescent="0.25">
      <c r="B96"/>
    </row>
    <row r="97" spans="2:2" x14ac:dyDescent="0.25">
      <c r="B97"/>
    </row>
    <row r="98" spans="2:2" x14ac:dyDescent="0.25">
      <c r="B98"/>
    </row>
    <row r="99" spans="2:2" x14ac:dyDescent="0.25">
      <c r="B99"/>
    </row>
    <row r="100" spans="2:2" x14ac:dyDescent="0.25">
      <c r="B100"/>
    </row>
    <row r="101" spans="2:2" x14ac:dyDescent="0.25">
      <c r="B101"/>
    </row>
    <row r="102" spans="2:2" x14ac:dyDescent="0.25">
      <c r="B102"/>
    </row>
    <row r="103" spans="2:2" x14ac:dyDescent="0.25">
      <c r="B103"/>
    </row>
    <row r="104" spans="2:2" x14ac:dyDescent="0.25">
      <c r="B104"/>
    </row>
    <row r="105" spans="2:2" x14ac:dyDescent="0.25">
      <c r="B105"/>
    </row>
    <row r="106" spans="2:2" x14ac:dyDescent="0.25">
      <c r="B106"/>
    </row>
    <row r="107" spans="2:2" x14ac:dyDescent="0.25">
      <c r="B107"/>
    </row>
    <row r="108" spans="2:2" x14ac:dyDescent="0.25">
      <c r="B108"/>
    </row>
    <row r="109" spans="2:2" x14ac:dyDescent="0.25">
      <c r="B109"/>
    </row>
    <row r="110" spans="2:2" x14ac:dyDescent="0.25">
      <c r="B110"/>
    </row>
    <row r="111" spans="2:2" x14ac:dyDescent="0.25">
      <c r="B111"/>
    </row>
    <row r="112" spans="2:2" x14ac:dyDescent="0.25">
      <c r="B112"/>
    </row>
    <row r="113" spans="2:2" x14ac:dyDescent="0.25">
      <c r="B113"/>
    </row>
    <row r="114" spans="2:2" x14ac:dyDescent="0.25">
      <c r="B114"/>
    </row>
    <row r="115" spans="2:2" x14ac:dyDescent="0.25">
      <c r="B115"/>
    </row>
    <row r="116" spans="2:2" x14ac:dyDescent="0.25">
      <c r="B116"/>
    </row>
    <row r="117" spans="2:2" x14ac:dyDescent="0.25">
      <c r="B117"/>
    </row>
    <row r="118" spans="2:2" x14ac:dyDescent="0.25">
      <c r="B118"/>
    </row>
    <row r="119" spans="2:2" x14ac:dyDescent="0.25">
      <c r="B119"/>
    </row>
    <row r="120" spans="2:2" x14ac:dyDescent="0.25">
      <c r="B120"/>
    </row>
    <row r="121" spans="2:2" x14ac:dyDescent="0.25">
      <c r="B121"/>
    </row>
    <row r="122" spans="2:2" x14ac:dyDescent="0.25">
      <c r="B122"/>
    </row>
    <row r="123" spans="2:2" x14ac:dyDescent="0.25">
      <c r="B123"/>
    </row>
    <row r="124" spans="2:2" x14ac:dyDescent="0.25">
      <c r="B124"/>
    </row>
    <row r="125" spans="2:2" x14ac:dyDescent="0.25">
      <c r="B125"/>
    </row>
    <row r="126" spans="2:2" x14ac:dyDescent="0.25">
      <c r="B126"/>
    </row>
    <row r="127" spans="2:2" x14ac:dyDescent="0.25">
      <c r="B127"/>
    </row>
    <row r="128" spans="2:2" x14ac:dyDescent="0.25">
      <c r="B128"/>
    </row>
    <row r="129" spans="2:2" x14ac:dyDescent="0.25">
      <c r="B129"/>
    </row>
    <row r="130" spans="2:2" x14ac:dyDescent="0.25">
      <c r="B130"/>
    </row>
    <row r="131" spans="2:2" x14ac:dyDescent="0.25">
      <c r="B131"/>
    </row>
    <row r="132" spans="2:2" x14ac:dyDescent="0.25">
      <c r="B132"/>
    </row>
    <row r="133" spans="2:2" x14ac:dyDescent="0.25">
      <c r="B133"/>
    </row>
    <row r="134" spans="2:2" x14ac:dyDescent="0.25">
      <c r="B134"/>
    </row>
    <row r="135" spans="2:2" x14ac:dyDescent="0.25">
      <c r="B135"/>
    </row>
    <row r="136" spans="2:2" x14ac:dyDescent="0.25">
      <c r="B136"/>
    </row>
    <row r="137" spans="2:2" x14ac:dyDescent="0.25">
      <c r="B137"/>
    </row>
    <row r="138" spans="2:2" x14ac:dyDescent="0.25">
      <c r="B138"/>
    </row>
    <row r="139" spans="2:2" x14ac:dyDescent="0.25">
      <c r="B139"/>
    </row>
    <row r="140" spans="2:2" x14ac:dyDescent="0.25">
      <c r="B140"/>
    </row>
    <row r="141" spans="2:2" x14ac:dyDescent="0.25">
      <c r="B141"/>
    </row>
    <row r="142" spans="2:2" x14ac:dyDescent="0.25">
      <c r="B142"/>
    </row>
    <row r="143" spans="2:2" x14ac:dyDescent="0.25">
      <c r="B143"/>
    </row>
    <row r="144" spans="2:2" x14ac:dyDescent="0.25">
      <c r="B144"/>
    </row>
    <row r="145" spans="2:2" x14ac:dyDescent="0.25">
      <c r="B145"/>
    </row>
    <row r="146" spans="2:2" x14ac:dyDescent="0.25">
      <c r="B146"/>
    </row>
    <row r="147" spans="2:2" x14ac:dyDescent="0.25">
      <c r="B147"/>
    </row>
    <row r="148" spans="2:2" x14ac:dyDescent="0.25">
      <c r="B148"/>
    </row>
    <row r="149" spans="2:2" x14ac:dyDescent="0.25">
      <c r="B149"/>
    </row>
    <row r="150" spans="2:2" x14ac:dyDescent="0.25">
      <c r="B150"/>
    </row>
    <row r="151" spans="2:2" x14ac:dyDescent="0.25">
      <c r="B151"/>
    </row>
    <row r="152" spans="2:2" x14ac:dyDescent="0.25">
      <c r="B152"/>
    </row>
    <row r="153" spans="2:2" x14ac:dyDescent="0.25">
      <c r="B153"/>
    </row>
    <row r="154" spans="2:2" x14ac:dyDescent="0.25">
      <c r="B154"/>
    </row>
    <row r="155" spans="2:2" x14ac:dyDescent="0.25">
      <c r="B155"/>
    </row>
    <row r="156" spans="2:2" x14ac:dyDescent="0.25">
      <c r="B156"/>
    </row>
    <row r="157" spans="2:2" x14ac:dyDescent="0.25">
      <c r="B157"/>
    </row>
    <row r="158" spans="2:2" x14ac:dyDescent="0.25">
      <c r="B158"/>
    </row>
    <row r="159" spans="2:2" x14ac:dyDescent="0.25">
      <c r="B159"/>
    </row>
    <row r="160" spans="2:2" x14ac:dyDescent="0.25">
      <c r="B160"/>
    </row>
    <row r="161" spans="2:2" x14ac:dyDescent="0.25">
      <c r="B161"/>
    </row>
    <row r="162" spans="2:2" x14ac:dyDescent="0.25">
      <c r="B162"/>
    </row>
    <row r="163" spans="2:2" x14ac:dyDescent="0.25">
      <c r="B163"/>
    </row>
    <row r="164" spans="2:2" x14ac:dyDescent="0.25">
      <c r="B164"/>
    </row>
    <row r="165" spans="2:2" x14ac:dyDescent="0.25">
      <c r="B165"/>
    </row>
    <row r="166" spans="2:2" x14ac:dyDescent="0.25">
      <c r="B166"/>
    </row>
    <row r="167" spans="2:2" x14ac:dyDescent="0.25">
      <c r="B167"/>
    </row>
    <row r="168" spans="2:2" x14ac:dyDescent="0.25">
      <c r="B168"/>
    </row>
    <row r="169" spans="2:2" x14ac:dyDescent="0.25">
      <c r="B169"/>
    </row>
    <row r="170" spans="2:2" x14ac:dyDescent="0.25">
      <c r="B170"/>
    </row>
    <row r="171" spans="2:2" x14ac:dyDescent="0.25">
      <c r="B171"/>
    </row>
    <row r="172" spans="2:2" x14ac:dyDescent="0.25">
      <c r="B172"/>
    </row>
    <row r="173" spans="2:2" x14ac:dyDescent="0.25">
      <c r="B173"/>
    </row>
    <row r="174" spans="2:2" x14ac:dyDescent="0.25">
      <c r="B174"/>
    </row>
    <row r="175" spans="2:2" x14ac:dyDescent="0.25">
      <c r="B175"/>
    </row>
    <row r="176" spans="2:2" x14ac:dyDescent="0.25">
      <c r="B176"/>
    </row>
    <row r="177" spans="2:2" x14ac:dyDescent="0.25">
      <c r="B177"/>
    </row>
    <row r="178" spans="2:2" x14ac:dyDescent="0.25">
      <c r="B178"/>
    </row>
    <row r="179" spans="2:2" x14ac:dyDescent="0.25">
      <c r="B179"/>
    </row>
    <row r="180" spans="2:2" x14ac:dyDescent="0.25">
      <c r="B180"/>
    </row>
    <row r="181" spans="2:2" x14ac:dyDescent="0.25">
      <c r="B181"/>
    </row>
    <row r="182" spans="2:2" x14ac:dyDescent="0.25">
      <c r="B182"/>
    </row>
    <row r="183" spans="2:2" x14ac:dyDescent="0.25">
      <c r="B183"/>
    </row>
    <row r="184" spans="2:2" x14ac:dyDescent="0.25">
      <c r="B184"/>
    </row>
    <row r="185" spans="2:2" x14ac:dyDescent="0.25">
      <c r="B185"/>
    </row>
    <row r="186" spans="2:2" x14ac:dyDescent="0.25">
      <c r="B186"/>
    </row>
    <row r="187" spans="2:2" x14ac:dyDescent="0.25">
      <c r="B187"/>
    </row>
    <row r="188" spans="2:2" x14ac:dyDescent="0.25">
      <c r="B188"/>
    </row>
    <row r="189" spans="2:2" x14ac:dyDescent="0.25">
      <c r="B189"/>
    </row>
    <row r="190" spans="2:2" x14ac:dyDescent="0.25">
      <c r="B190"/>
    </row>
    <row r="191" spans="2:2" x14ac:dyDescent="0.25">
      <c r="B191"/>
    </row>
    <row r="192" spans="2:2" x14ac:dyDescent="0.25">
      <c r="B192"/>
    </row>
    <row r="193" spans="2:2" x14ac:dyDescent="0.25">
      <c r="B193"/>
    </row>
    <row r="194" spans="2:2" x14ac:dyDescent="0.25">
      <c r="B194"/>
    </row>
    <row r="195" spans="2:2" x14ac:dyDescent="0.25">
      <c r="B195"/>
    </row>
    <row r="196" spans="2:2" x14ac:dyDescent="0.25">
      <c r="B196"/>
    </row>
    <row r="197" spans="2:2" x14ac:dyDescent="0.25">
      <c r="B197"/>
    </row>
    <row r="198" spans="2:2" x14ac:dyDescent="0.25">
      <c r="B198"/>
    </row>
    <row r="199" spans="2:2" x14ac:dyDescent="0.25">
      <c r="B199"/>
    </row>
    <row r="200" spans="2:2" x14ac:dyDescent="0.25">
      <c r="B200"/>
    </row>
    <row r="201" spans="2:2" x14ac:dyDescent="0.25">
      <c r="B201"/>
    </row>
    <row r="202" spans="2:2" x14ac:dyDescent="0.25">
      <c r="B202"/>
    </row>
    <row r="203" spans="2:2" x14ac:dyDescent="0.25">
      <c r="B203"/>
    </row>
    <row r="204" spans="2:2" x14ac:dyDescent="0.25">
      <c r="B204"/>
    </row>
    <row r="205" spans="2:2" x14ac:dyDescent="0.25">
      <c r="B205"/>
    </row>
    <row r="206" spans="2:2" x14ac:dyDescent="0.25">
      <c r="B206"/>
    </row>
    <row r="207" spans="2:2" x14ac:dyDescent="0.25">
      <c r="B207"/>
    </row>
    <row r="208" spans="2:2" x14ac:dyDescent="0.25">
      <c r="B208"/>
    </row>
    <row r="209" spans="2:2" x14ac:dyDescent="0.25">
      <c r="B209"/>
    </row>
    <row r="210" spans="2:2" x14ac:dyDescent="0.25">
      <c r="B210"/>
    </row>
    <row r="211" spans="2:2" x14ac:dyDescent="0.25">
      <c r="B211"/>
    </row>
    <row r="212" spans="2:2" x14ac:dyDescent="0.25">
      <c r="B212"/>
    </row>
    <row r="213" spans="2:2" x14ac:dyDescent="0.25">
      <c r="B213"/>
    </row>
    <row r="214" spans="2:2" x14ac:dyDescent="0.25">
      <c r="B214"/>
    </row>
    <row r="215" spans="2:2" x14ac:dyDescent="0.25">
      <c r="B215"/>
    </row>
    <row r="216" spans="2:2" x14ac:dyDescent="0.25">
      <c r="B216"/>
    </row>
    <row r="217" spans="2:2" x14ac:dyDescent="0.25">
      <c r="B217"/>
    </row>
    <row r="218" spans="2:2" x14ac:dyDescent="0.25">
      <c r="B218"/>
    </row>
    <row r="219" spans="2:2" x14ac:dyDescent="0.25">
      <c r="B219"/>
    </row>
    <row r="220" spans="2:2" x14ac:dyDescent="0.25">
      <c r="B220"/>
    </row>
    <row r="221" spans="2:2" x14ac:dyDescent="0.25">
      <c r="B221"/>
    </row>
    <row r="222" spans="2:2" x14ac:dyDescent="0.25">
      <c r="B222"/>
    </row>
    <row r="223" spans="2:2" x14ac:dyDescent="0.25">
      <c r="B223"/>
    </row>
    <row r="224" spans="2:2" x14ac:dyDescent="0.25">
      <c r="B224"/>
    </row>
    <row r="225" spans="2:2" x14ac:dyDescent="0.25">
      <c r="B225"/>
    </row>
    <row r="226" spans="2:2" x14ac:dyDescent="0.25">
      <c r="B226"/>
    </row>
    <row r="227" spans="2:2" x14ac:dyDescent="0.25">
      <c r="B227"/>
    </row>
    <row r="228" spans="2:2" x14ac:dyDescent="0.25">
      <c r="B228"/>
    </row>
    <row r="229" spans="2:2" x14ac:dyDescent="0.25">
      <c r="B229"/>
    </row>
    <row r="230" spans="2:2" x14ac:dyDescent="0.25">
      <c r="B230"/>
    </row>
    <row r="231" spans="2:2" x14ac:dyDescent="0.25">
      <c r="B231"/>
    </row>
    <row r="232" spans="2:2" x14ac:dyDescent="0.25">
      <c r="B232"/>
    </row>
    <row r="233" spans="2:2" x14ac:dyDescent="0.25">
      <c r="B233"/>
    </row>
    <row r="234" spans="2:2" x14ac:dyDescent="0.25">
      <c r="B234"/>
    </row>
    <row r="235" spans="2:2" x14ac:dyDescent="0.25">
      <c r="B235"/>
    </row>
    <row r="236" spans="2:2" x14ac:dyDescent="0.25">
      <c r="B236"/>
    </row>
    <row r="237" spans="2:2" x14ac:dyDescent="0.25">
      <c r="B237"/>
    </row>
    <row r="238" spans="2:2" x14ac:dyDescent="0.25">
      <c r="B238"/>
    </row>
    <row r="239" spans="2:2" x14ac:dyDescent="0.25">
      <c r="B239"/>
    </row>
    <row r="240" spans="2:2" x14ac:dyDescent="0.25">
      <c r="B240"/>
    </row>
    <row r="241" spans="2:2" x14ac:dyDescent="0.25">
      <c r="B241"/>
    </row>
    <row r="242" spans="2:2" x14ac:dyDescent="0.25">
      <c r="B242"/>
    </row>
    <row r="243" spans="2:2" x14ac:dyDescent="0.25">
      <c r="B243"/>
    </row>
    <row r="244" spans="2:2" x14ac:dyDescent="0.25">
      <c r="B244"/>
    </row>
    <row r="245" spans="2:2" x14ac:dyDescent="0.25">
      <c r="B245"/>
    </row>
    <row r="246" spans="2:2" x14ac:dyDescent="0.25">
      <c r="B246"/>
    </row>
    <row r="247" spans="2:2" x14ac:dyDescent="0.25">
      <c r="B247"/>
    </row>
    <row r="248" spans="2:2" x14ac:dyDescent="0.25">
      <c r="B248"/>
    </row>
    <row r="249" spans="2:2" x14ac:dyDescent="0.25">
      <c r="B249"/>
    </row>
    <row r="250" spans="2:2" x14ac:dyDescent="0.25">
      <c r="B250"/>
    </row>
    <row r="251" spans="2:2" x14ac:dyDescent="0.25">
      <c r="B251"/>
    </row>
    <row r="252" spans="2:2" x14ac:dyDescent="0.25">
      <c r="B252"/>
    </row>
    <row r="253" spans="2:2" x14ac:dyDescent="0.25">
      <c r="B253"/>
    </row>
    <row r="254" spans="2:2" x14ac:dyDescent="0.25">
      <c r="B254"/>
    </row>
    <row r="255" spans="2:2" x14ac:dyDescent="0.25">
      <c r="B255"/>
    </row>
    <row r="256" spans="2:2" x14ac:dyDescent="0.25">
      <c r="B256"/>
    </row>
    <row r="257" spans="2:2" x14ac:dyDescent="0.25">
      <c r="B257"/>
    </row>
    <row r="258" spans="2:2" x14ac:dyDescent="0.25">
      <c r="B258"/>
    </row>
    <row r="259" spans="2:2" x14ac:dyDescent="0.25">
      <c r="B259"/>
    </row>
    <row r="260" spans="2:2" x14ac:dyDescent="0.25">
      <c r="B260"/>
    </row>
    <row r="261" spans="2:2" x14ac:dyDescent="0.25">
      <c r="B261"/>
    </row>
    <row r="262" spans="2:2" x14ac:dyDescent="0.25">
      <c r="B262"/>
    </row>
    <row r="263" spans="2:2" x14ac:dyDescent="0.25">
      <c r="B263"/>
    </row>
    <row r="264" spans="2:2" x14ac:dyDescent="0.25">
      <c r="B264"/>
    </row>
    <row r="265" spans="2:2" x14ac:dyDescent="0.25">
      <c r="B265"/>
    </row>
    <row r="266" spans="2:2" x14ac:dyDescent="0.25">
      <c r="B266"/>
    </row>
    <row r="267" spans="2:2" x14ac:dyDescent="0.25">
      <c r="B267"/>
    </row>
    <row r="268" spans="2:2" x14ac:dyDescent="0.25">
      <c r="B268"/>
    </row>
    <row r="269" spans="2:2" x14ac:dyDescent="0.25">
      <c r="B269"/>
    </row>
    <row r="270" spans="2:2" x14ac:dyDescent="0.25">
      <c r="B270"/>
    </row>
    <row r="271" spans="2:2" x14ac:dyDescent="0.25">
      <c r="B271"/>
    </row>
    <row r="272" spans="2:2" x14ac:dyDescent="0.25">
      <c r="B272"/>
    </row>
    <row r="273" spans="2:2" x14ac:dyDescent="0.25">
      <c r="B273"/>
    </row>
    <row r="274" spans="2:2" x14ac:dyDescent="0.25">
      <c r="B274"/>
    </row>
    <row r="275" spans="2:2" x14ac:dyDescent="0.25">
      <c r="B275"/>
    </row>
    <row r="276" spans="2:2" x14ac:dyDescent="0.25">
      <c r="B276"/>
    </row>
    <row r="277" spans="2:2" x14ac:dyDescent="0.25">
      <c r="B277"/>
    </row>
    <row r="278" spans="2:2" x14ac:dyDescent="0.25">
      <c r="B278"/>
    </row>
    <row r="279" spans="2:2" x14ac:dyDescent="0.25">
      <c r="B279"/>
    </row>
    <row r="280" spans="2:2" x14ac:dyDescent="0.25">
      <c r="B280"/>
    </row>
    <row r="281" spans="2:2" x14ac:dyDescent="0.25">
      <c r="B281"/>
    </row>
    <row r="282" spans="2:2" x14ac:dyDescent="0.25">
      <c r="B282"/>
    </row>
    <row r="283" spans="2:2" x14ac:dyDescent="0.25">
      <c r="B283"/>
    </row>
    <row r="284" spans="2:2" x14ac:dyDescent="0.25">
      <c r="B284"/>
    </row>
    <row r="285" spans="2:2" x14ac:dyDescent="0.25">
      <c r="B285"/>
    </row>
    <row r="286" spans="2:2" x14ac:dyDescent="0.25">
      <c r="B286"/>
    </row>
    <row r="287" spans="2:2" x14ac:dyDescent="0.25">
      <c r="B287"/>
    </row>
    <row r="288" spans="2:2" x14ac:dyDescent="0.25">
      <c r="B288"/>
    </row>
    <row r="289" spans="2:2" x14ac:dyDescent="0.25">
      <c r="B289"/>
    </row>
    <row r="290" spans="2:2" x14ac:dyDescent="0.25">
      <c r="B290"/>
    </row>
    <row r="291" spans="2:2" x14ac:dyDescent="0.25">
      <c r="B291"/>
    </row>
    <row r="292" spans="2:2" x14ac:dyDescent="0.25">
      <c r="B292"/>
    </row>
    <row r="293" spans="2:2" x14ac:dyDescent="0.25">
      <c r="B293"/>
    </row>
    <row r="294" spans="2:2" x14ac:dyDescent="0.25">
      <c r="B294"/>
    </row>
    <row r="295" spans="2:2" x14ac:dyDescent="0.25">
      <c r="B295"/>
    </row>
    <row r="296" spans="2:2" x14ac:dyDescent="0.25">
      <c r="B296"/>
    </row>
    <row r="297" spans="2:2" x14ac:dyDescent="0.25">
      <c r="B297"/>
    </row>
    <row r="298" spans="2:2" x14ac:dyDescent="0.25">
      <c r="B298"/>
    </row>
    <row r="299" spans="2:2" x14ac:dyDescent="0.25">
      <c r="B299"/>
    </row>
    <row r="300" spans="2:2" x14ac:dyDescent="0.25">
      <c r="B300"/>
    </row>
    <row r="301" spans="2:2" x14ac:dyDescent="0.25">
      <c r="B301"/>
    </row>
    <row r="302" spans="2:2" x14ac:dyDescent="0.25">
      <c r="B302"/>
    </row>
    <row r="303" spans="2:2" x14ac:dyDescent="0.25">
      <c r="B303"/>
    </row>
    <row r="304" spans="2:2" x14ac:dyDescent="0.25">
      <c r="B304"/>
    </row>
    <row r="305" spans="2:2" x14ac:dyDescent="0.25">
      <c r="B305"/>
    </row>
    <row r="306" spans="2:2" x14ac:dyDescent="0.25">
      <c r="B306"/>
    </row>
    <row r="307" spans="2:2" x14ac:dyDescent="0.25">
      <c r="B307"/>
    </row>
    <row r="308" spans="2:2" x14ac:dyDescent="0.25">
      <c r="B308"/>
    </row>
    <row r="309" spans="2:2" x14ac:dyDescent="0.25">
      <c r="B309"/>
    </row>
    <row r="310" spans="2:2" x14ac:dyDescent="0.25">
      <c r="B310"/>
    </row>
    <row r="311" spans="2:2" x14ac:dyDescent="0.25">
      <c r="B311"/>
    </row>
    <row r="312" spans="2:2" x14ac:dyDescent="0.25">
      <c r="B312"/>
    </row>
    <row r="313" spans="2:2" x14ac:dyDescent="0.25">
      <c r="B313"/>
    </row>
    <row r="314" spans="2:2" x14ac:dyDescent="0.25">
      <c r="B314"/>
    </row>
    <row r="315" spans="2:2" x14ac:dyDescent="0.25">
      <c r="B315"/>
    </row>
    <row r="316" spans="2:2" x14ac:dyDescent="0.25">
      <c r="B316"/>
    </row>
    <row r="317" spans="2:2" x14ac:dyDescent="0.25">
      <c r="B317"/>
    </row>
    <row r="318" spans="2:2" x14ac:dyDescent="0.25">
      <c r="B318"/>
    </row>
    <row r="319" spans="2:2" x14ac:dyDescent="0.25">
      <c r="B319"/>
    </row>
    <row r="320" spans="2:2" x14ac:dyDescent="0.25">
      <c r="B320"/>
    </row>
    <row r="321" spans="2:2" x14ac:dyDescent="0.25">
      <c r="B321"/>
    </row>
    <row r="322" spans="2:2" x14ac:dyDescent="0.25">
      <c r="B322"/>
    </row>
    <row r="323" spans="2:2" x14ac:dyDescent="0.25">
      <c r="B323"/>
    </row>
    <row r="324" spans="2:2" x14ac:dyDescent="0.25">
      <c r="B324"/>
    </row>
    <row r="325" spans="2:2" x14ac:dyDescent="0.25">
      <c r="B325"/>
    </row>
    <row r="326" spans="2:2" x14ac:dyDescent="0.25">
      <c r="B326"/>
    </row>
    <row r="327" spans="2:2" x14ac:dyDescent="0.25">
      <c r="B327"/>
    </row>
    <row r="328" spans="2:2" x14ac:dyDescent="0.25">
      <c r="B328"/>
    </row>
    <row r="329" spans="2:2" x14ac:dyDescent="0.25">
      <c r="B329"/>
    </row>
    <row r="330" spans="2:2" x14ac:dyDescent="0.25">
      <c r="B330"/>
    </row>
    <row r="331" spans="2:2" x14ac:dyDescent="0.25">
      <c r="B331"/>
    </row>
    <row r="332" spans="2:2" x14ac:dyDescent="0.25">
      <c r="B332"/>
    </row>
    <row r="333" spans="2:2" x14ac:dyDescent="0.25">
      <c r="B333"/>
    </row>
    <row r="334" spans="2:2" x14ac:dyDescent="0.25">
      <c r="B334"/>
    </row>
    <row r="335" spans="2:2" x14ac:dyDescent="0.25">
      <c r="B335"/>
    </row>
    <row r="336" spans="2:2" x14ac:dyDescent="0.25">
      <c r="B336"/>
    </row>
    <row r="337" spans="2:2" x14ac:dyDescent="0.25">
      <c r="B337"/>
    </row>
    <row r="338" spans="2:2" x14ac:dyDescent="0.25">
      <c r="B338"/>
    </row>
    <row r="339" spans="2:2" x14ac:dyDescent="0.25">
      <c r="B339"/>
    </row>
    <row r="340" spans="2:2" x14ac:dyDescent="0.25">
      <c r="B340"/>
    </row>
    <row r="341" spans="2:2" x14ac:dyDescent="0.25">
      <c r="B341"/>
    </row>
    <row r="342" spans="2:2" x14ac:dyDescent="0.25">
      <c r="B342"/>
    </row>
    <row r="343" spans="2:2" x14ac:dyDescent="0.25">
      <c r="B343"/>
    </row>
    <row r="344" spans="2:2" x14ac:dyDescent="0.25">
      <c r="B344"/>
    </row>
    <row r="345" spans="2:2" x14ac:dyDescent="0.25">
      <c r="B345"/>
    </row>
    <row r="346" spans="2:2" x14ac:dyDescent="0.25">
      <c r="B346"/>
    </row>
    <row r="347" spans="2:2" x14ac:dyDescent="0.25">
      <c r="B347"/>
    </row>
    <row r="348" spans="2:2" x14ac:dyDescent="0.25">
      <c r="B348"/>
    </row>
    <row r="349" spans="2:2" x14ac:dyDescent="0.25">
      <c r="B349"/>
    </row>
  </sheetData>
  <pageMargins left="0.7" right="0.7" top="0.75" bottom="0.75" header="0.3" footer="0.3"/>
  <drawing r:id="rId1"/>
  <tableParts count="4">
    <tablePart r:id="rId2"/>
    <tablePart r:id="rId3"/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C31"/>
  <sheetViews>
    <sheetView workbookViewId="0">
      <selection activeCell="F26" sqref="F26"/>
    </sheetView>
  </sheetViews>
  <sheetFormatPr baseColWidth="10" defaultColWidth="11.42578125" defaultRowHeight="15" x14ac:dyDescent="0.25"/>
  <cols>
    <col min="1" max="2" width="11.42578125" style="1"/>
    <col min="3" max="16384" width="11.42578125" style="2"/>
  </cols>
  <sheetData>
    <row r="1" spans="1:3" x14ac:dyDescent="0.25">
      <c r="A1" s="1">
        <v>44927</v>
      </c>
      <c r="B1" s="1">
        <v>44945</v>
      </c>
      <c r="C1" s="2" t="s">
        <v>332</v>
      </c>
    </row>
    <row r="2" spans="1:3" x14ac:dyDescent="0.25">
      <c r="A2" s="1">
        <v>44946</v>
      </c>
      <c r="B2" s="1">
        <v>44975</v>
      </c>
      <c r="C2" s="2" t="s">
        <v>333</v>
      </c>
    </row>
    <row r="3" spans="1:3" x14ac:dyDescent="0.25">
      <c r="A3" s="1">
        <v>44976</v>
      </c>
      <c r="B3" s="1">
        <v>45005</v>
      </c>
      <c r="C3" s="2" t="s">
        <v>334</v>
      </c>
    </row>
    <row r="4" spans="1:3" x14ac:dyDescent="0.25">
      <c r="A4" s="1">
        <v>45006</v>
      </c>
      <c r="B4" s="1">
        <v>45035</v>
      </c>
      <c r="C4" s="2" t="s">
        <v>323</v>
      </c>
    </row>
    <row r="5" spans="1:3" x14ac:dyDescent="0.25">
      <c r="A5" s="1">
        <v>45036</v>
      </c>
      <c r="B5" s="1">
        <v>45066</v>
      </c>
      <c r="C5" s="2" t="s">
        <v>324</v>
      </c>
    </row>
    <row r="6" spans="1:3" x14ac:dyDescent="0.25">
      <c r="A6" s="1">
        <v>45067</v>
      </c>
      <c r="B6" s="1">
        <v>45097</v>
      </c>
      <c r="C6" s="2" t="s">
        <v>325</v>
      </c>
    </row>
    <row r="7" spans="1:3" x14ac:dyDescent="0.25">
      <c r="A7" s="1">
        <v>45098</v>
      </c>
      <c r="B7" s="1">
        <v>45129</v>
      </c>
      <c r="C7" s="2" t="s">
        <v>326</v>
      </c>
    </row>
    <row r="8" spans="1:3" x14ac:dyDescent="0.25">
      <c r="A8" s="1">
        <v>45130</v>
      </c>
      <c r="B8" s="1">
        <v>45160</v>
      </c>
      <c r="C8" s="2" t="s">
        <v>327</v>
      </c>
    </row>
    <row r="9" spans="1:3" x14ac:dyDescent="0.25">
      <c r="A9" s="1">
        <v>45161</v>
      </c>
      <c r="B9" s="1">
        <v>45191</v>
      </c>
      <c r="C9" s="2" t="s">
        <v>328</v>
      </c>
    </row>
    <row r="10" spans="1:3" x14ac:dyDescent="0.25">
      <c r="A10" s="1">
        <v>45192</v>
      </c>
      <c r="B10" s="1">
        <v>45222</v>
      </c>
      <c r="C10" s="2" t="s">
        <v>329</v>
      </c>
    </row>
    <row r="11" spans="1:3" x14ac:dyDescent="0.25">
      <c r="A11" s="1">
        <v>45223</v>
      </c>
      <c r="B11" s="1">
        <v>45251</v>
      </c>
      <c r="C11" s="2" t="s">
        <v>330</v>
      </c>
    </row>
    <row r="12" spans="1:3" x14ac:dyDescent="0.25">
      <c r="A12" s="1">
        <v>45252</v>
      </c>
      <c r="B12" s="1">
        <v>45281</v>
      </c>
      <c r="C12" s="2" t="s">
        <v>331</v>
      </c>
    </row>
    <row r="13" spans="1:3" x14ac:dyDescent="0.25">
      <c r="A13" s="1">
        <v>45282</v>
      </c>
      <c r="B13" s="1">
        <v>45290</v>
      </c>
      <c r="C13" s="2" t="s">
        <v>332</v>
      </c>
    </row>
    <row r="14" spans="1:3" x14ac:dyDescent="0.25">
      <c r="A14" s="2"/>
      <c r="B14" s="2"/>
    </row>
    <row r="15" spans="1:3" x14ac:dyDescent="0.25">
      <c r="A15" s="2"/>
      <c r="B15" s="2"/>
    </row>
    <row r="16" spans="1:3" x14ac:dyDescent="0.25">
      <c r="A16" s="2"/>
      <c r="B16" s="2"/>
    </row>
    <row r="17" s="2" customFormat="1" x14ac:dyDescent="0.25"/>
    <row r="18" s="2" customFormat="1" x14ac:dyDescent="0.25"/>
    <row r="19" s="2" customFormat="1" x14ac:dyDescent="0.25"/>
    <row r="20" s="2" customFormat="1" x14ac:dyDescent="0.25"/>
    <row r="21" s="2" customFormat="1" x14ac:dyDescent="0.25"/>
    <row r="22" s="2" customFormat="1" x14ac:dyDescent="0.25"/>
    <row r="23" s="2" customFormat="1" x14ac:dyDescent="0.25"/>
    <row r="24" s="2" customFormat="1" x14ac:dyDescent="0.25"/>
    <row r="25" s="2" customFormat="1" x14ac:dyDescent="0.25"/>
    <row r="26" s="2" customFormat="1" x14ac:dyDescent="0.25"/>
    <row r="27" s="2" customFormat="1" x14ac:dyDescent="0.25"/>
    <row r="28" s="2" customFormat="1" x14ac:dyDescent="0.25"/>
    <row r="29" s="2" customFormat="1" x14ac:dyDescent="0.25"/>
    <row r="30" s="2" customFormat="1" x14ac:dyDescent="0.25"/>
    <row r="31" s="2" customForma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Data</vt:lpstr>
      <vt:lpstr>Comparisons</vt:lpstr>
      <vt:lpstr>Signs</vt:lpstr>
      <vt:lpstr>Comparisons!Área_de_extracción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Caroline</dc:creator>
  <cp:lastModifiedBy>Caroline Amaro</cp:lastModifiedBy>
  <dcterms:created xsi:type="dcterms:W3CDTF">2023-03-24T06:09:40Z</dcterms:created>
  <dcterms:modified xsi:type="dcterms:W3CDTF">2025-02-25T18:15:48Z</dcterms:modified>
</cp:coreProperties>
</file>